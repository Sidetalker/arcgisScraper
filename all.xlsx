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omplex" sheetId="1" state="visible" r:id="rId1"/>
    <sheet xmlns:r="http://schemas.openxmlformats.org/officeDocument/2006/relationships" name="By Ow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</t>
        </is>
      </c>
      <c r="B1" t="inlineStr">
        <is>
          <t>Unit</t>
        </is>
      </c>
      <c r="C1" t="inlineStr">
        <is>
          <t>Owner Name</t>
        </is>
      </c>
      <c r="D1" t="inlineStr">
        <is>
          <t>Business Owner?</t>
        </is>
      </c>
      <c r="E1" t="inlineStr">
        <is>
          <t>Address Line 1</t>
        </is>
      </c>
      <c r="F1" t="inlineStr">
        <is>
          <t>Address Line 2</t>
        </is>
      </c>
      <c r="G1" t="inlineStr">
        <is>
          <t>City (Required)</t>
        </is>
      </c>
      <c r="H1" t="inlineStr">
        <is>
          <t>State</t>
        </is>
      </c>
      <c r="I1" t="inlineStr">
        <is>
          <t>Zip5</t>
        </is>
      </c>
      <c r="J1" t="inlineStr">
        <is>
          <t>Zip9</t>
        </is>
      </c>
      <c r="K1" t="inlineStr">
        <is>
          <t>Subdivision</t>
        </is>
      </c>
      <c r="L1" t="inlineStr">
        <is>
          <t>Schedule Number</t>
        </is>
      </c>
      <c r="M1" t="inlineStr">
        <is>
          <t>First name</t>
        </is>
      </c>
      <c r="N1" t="inlineStr">
        <is>
          <t>Middle</t>
        </is>
      </c>
      <c r="O1" t="inlineStr">
        <is>
          <t>Last Name</t>
        </is>
      </c>
      <c r="P1" t="inlineStr">
        <is>
          <t>Suffix</t>
        </is>
      </c>
      <c r="Q1" t="inlineStr">
        <is>
          <t>Title</t>
        </is>
      </c>
      <c r="R1" t="inlineStr">
        <is>
          <t>Company (Required if last name is not provided)</t>
        </is>
      </c>
      <c r="S1" t="inlineStr">
        <is>
          <t>Original Zip</t>
        </is>
      </c>
      <c r="T1" t="inlineStr">
        <is>
          <t>Comments</t>
        </is>
      </c>
      <c r="U1" t="inlineStr">
        <is>
          <t>Owner ID</t>
        </is>
      </c>
      <c r="V1" t="inlineStr">
        <is>
          <t>Owner Link</t>
        </is>
      </c>
    </row>
    <row r="2">
      <c r="A2" t="inlineStr">
        <is>
          <t>Abbetts Addition Sub</t>
        </is>
      </c>
      <c r="B2" t="inlineStr"/>
      <c r="C2" t="inlineStr">
        <is>
          <t>BIRD &amp; COW LLC</t>
        </is>
      </c>
      <c r="D2" t="inlineStr">
        <is>
          <t>Yes</t>
        </is>
      </c>
      <c r="E2" t="inlineStr">
        <is>
          <t>PO BOX 4443</t>
        </is>
      </c>
      <c r="F2" t="inlineStr"/>
      <c r="G2" t="inlineStr">
        <is>
          <t>Breckenridge</t>
        </is>
      </c>
      <c r="H2" t="inlineStr">
        <is>
          <t>CO</t>
        </is>
      </c>
      <c r="I2" t="inlineStr">
        <is>
          <t>80424</t>
        </is>
      </c>
      <c r="J2" t="inlineStr">
        <is>
          <t>80424-4443</t>
        </is>
      </c>
      <c r="K2" t="inlineStr">
        <is>
          <t>ABBETTS ADDITION SUB</t>
        </is>
      </c>
      <c r="L2" t="inlineStr">
        <is>
          <t>304455</t>
        </is>
      </c>
      <c r="M2" t="inlineStr"/>
      <c r="N2" t="inlineStr"/>
      <c r="O2" t="inlineStr"/>
      <c r="P2" t="inlineStr"/>
      <c r="Q2" t="inlineStr"/>
      <c r="R2" t="inlineStr">
        <is>
          <t>BIRD &amp; COW LLC</t>
        </is>
      </c>
      <c r="S2" t="inlineStr">
        <is>
          <t>80424-4443</t>
        </is>
      </c>
      <c r="T2" t="inlineStr"/>
      <c r="U2" t="inlineStr">
        <is>
          <t>OWN0001</t>
        </is>
      </c>
      <c r="V2">
        <f>HYPERLINK("#'By Owner'!A2", "OWN0001")</f>
        <v/>
      </c>
    </row>
    <row r="3">
      <c r="A3" t="inlineStr">
        <is>
          <t>Arts District Sub</t>
        </is>
      </c>
      <c r="B3" t="inlineStr"/>
      <c r="C3" t="inlineStr">
        <is>
          <t>Breckenridge Town Of</t>
        </is>
      </c>
      <c r="D3" t="inlineStr">
        <is>
          <t>No</t>
        </is>
      </c>
      <c r="E3" t="inlineStr">
        <is>
          <t>PO BOX 168</t>
        </is>
      </c>
      <c r="F3" t="inlineStr"/>
      <c r="G3" t="inlineStr">
        <is>
          <t>Breckenridge</t>
        </is>
      </c>
      <c r="H3" t="inlineStr">
        <is>
          <t>CO</t>
        </is>
      </c>
      <c r="I3" t="inlineStr">
        <is>
          <t>80424</t>
        </is>
      </c>
      <c r="J3" t="inlineStr">
        <is>
          <t>80424-0168</t>
        </is>
      </c>
      <c r="K3" t="inlineStr">
        <is>
          <t>ARTS DISTRICT SUB</t>
        </is>
      </c>
      <c r="L3" t="inlineStr">
        <is>
          <t>6516174</t>
        </is>
      </c>
      <c r="M3" t="inlineStr">
        <is>
          <t>Breckenridge</t>
        </is>
      </c>
      <c r="N3" t="inlineStr">
        <is>
          <t>Town</t>
        </is>
      </c>
      <c r="O3" t="inlineStr">
        <is>
          <t>Of</t>
        </is>
      </c>
      <c r="P3" t="inlineStr"/>
      <c r="Q3" t="inlineStr"/>
      <c r="R3" t="inlineStr"/>
      <c r="S3" t="inlineStr">
        <is>
          <t>80424-0168</t>
        </is>
      </c>
      <c r="T3" t="inlineStr"/>
      <c r="U3" t="inlineStr">
        <is>
          <t>OWN0002</t>
        </is>
      </c>
      <c r="V3">
        <f>HYPERLINK("#'By Owner'!A3", "OWN0002")</f>
        <v/>
      </c>
    </row>
    <row r="4">
      <c r="A4" t="inlineStr">
        <is>
          <t>Arts District Sub</t>
        </is>
      </c>
      <c r="B4" t="inlineStr"/>
      <c r="C4" t="inlineStr">
        <is>
          <t>Breckenridge Town Of</t>
        </is>
      </c>
      <c r="D4" t="inlineStr">
        <is>
          <t>No</t>
        </is>
      </c>
      <c r="E4" t="inlineStr">
        <is>
          <t>PO BOX 168</t>
        </is>
      </c>
      <c r="F4" t="inlineStr"/>
      <c r="G4" t="inlineStr">
        <is>
          <t>Breckenridge</t>
        </is>
      </c>
      <c r="H4" t="inlineStr">
        <is>
          <t>CO</t>
        </is>
      </c>
      <c r="I4" t="inlineStr">
        <is>
          <t>80424</t>
        </is>
      </c>
      <c r="J4" t="inlineStr">
        <is>
          <t>80424-0168</t>
        </is>
      </c>
      <c r="K4" t="inlineStr">
        <is>
          <t>ARTS DISTRICT SUB</t>
        </is>
      </c>
      <c r="L4" t="inlineStr">
        <is>
          <t>6516175</t>
        </is>
      </c>
      <c r="M4" t="inlineStr">
        <is>
          <t>Breckenridge</t>
        </is>
      </c>
      <c r="N4" t="inlineStr">
        <is>
          <t>Town</t>
        </is>
      </c>
      <c r="O4" t="inlineStr">
        <is>
          <t>Of</t>
        </is>
      </c>
      <c r="P4" t="inlineStr"/>
      <c r="Q4" t="inlineStr"/>
      <c r="R4" t="inlineStr"/>
      <c r="S4" t="inlineStr">
        <is>
          <t>80424-0168</t>
        </is>
      </c>
      <c r="T4" t="inlineStr"/>
      <c r="U4" t="inlineStr">
        <is>
          <t>OWN0002</t>
        </is>
      </c>
      <c r="V4">
        <f>HYPERLINK("#'By Owner'!A3", "OWN0002")</f>
        <v/>
      </c>
    </row>
    <row r="5">
      <c r="A5" t="inlineStr">
        <is>
          <t>Arts District Sub</t>
        </is>
      </c>
      <c r="B5" t="inlineStr"/>
      <c r="C5" t="inlineStr">
        <is>
          <t>Breckenridge Creative Arts</t>
        </is>
      </c>
      <c r="D5" t="inlineStr">
        <is>
          <t>No</t>
        </is>
      </c>
      <c r="E5" t="inlineStr">
        <is>
          <t>PO BOX 4269</t>
        </is>
      </c>
      <c r="F5" t="inlineStr"/>
      <c r="G5" t="inlineStr">
        <is>
          <t>Breckenridge</t>
        </is>
      </c>
      <c r="H5" t="inlineStr">
        <is>
          <t>CO</t>
        </is>
      </c>
      <c r="I5" t="inlineStr">
        <is>
          <t>80424</t>
        </is>
      </c>
      <c r="J5" t="inlineStr">
        <is>
          <t>80424-4269</t>
        </is>
      </c>
      <c r="K5" t="inlineStr">
        <is>
          <t>ARTS DISTRICT SUB</t>
        </is>
      </c>
      <c r="L5" t="inlineStr">
        <is>
          <t>6518672</t>
        </is>
      </c>
      <c r="M5" t="inlineStr">
        <is>
          <t>Breckenridge</t>
        </is>
      </c>
      <c r="N5" t="inlineStr">
        <is>
          <t>Creative</t>
        </is>
      </c>
      <c r="O5" t="inlineStr">
        <is>
          <t>Arts</t>
        </is>
      </c>
      <c r="P5" t="inlineStr"/>
      <c r="Q5" t="inlineStr"/>
      <c r="R5" t="inlineStr"/>
      <c r="S5" t="inlineStr">
        <is>
          <t>80424-4269</t>
        </is>
      </c>
      <c r="T5" t="inlineStr"/>
      <c r="U5" t="inlineStr">
        <is>
          <t>OWN0003</t>
        </is>
      </c>
      <c r="V5">
        <f>HYPERLINK("#'By Owner'!A4", "OWN0003")</f>
        <v/>
      </c>
    </row>
    <row r="6">
      <c r="A6" t="inlineStr">
        <is>
          <t>Bartlett &amp; Shock Sub</t>
        </is>
      </c>
      <c r="B6" t="inlineStr"/>
      <c r="C6" t="inlineStr">
        <is>
          <t>MAIN STREET DEVELOPMENT PARTNERS LLC</t>
        </is>
      </c>
      <c r="D6" t="inlineStr">
        <is>
          <t>Yes</t>
        </is>
      </c>
      <c r="E6" t="inlineStr">
        <is>
          <t>2850 TIGERTAIL AVE STE 400</t>
        </is>
      </c>
      <c r="F6" t="inlineStr"/>
      <c r="G6" t="inlineStr">
        <is>
          <t>Coconut Grove</t>
        </is>
      </c>
      <c r="H6" t="inlineStr">
        <is>
          <t>FL</t>
        </is>
      </c>
      <c r="I6" t="inlineStr">
        <is>
          <t>33133</t>
        </is>
      </c>
      <c r="J6" t="inlineStr">
        <is>
          <t>33133-5345</t>
        </is>
      </c>
      <c r="K6" t="inlineStr">
        <is>
          <t>BARTLETT &amp; SHOCK SUB</t>
        </is>
      </c>
      <c r="L6" t="inlineStr">
        <is>
          <t>300280</t>
        </is>
      </c>
      <c r="M6" t="inlineStr"/>
      <c r="N6" t="inlineStr"/>
      <c r="O6" t="inlineStr"/>
      <c r="P6" t="inlineStr"/>
      <c r="Q6" t="inlineStr"/>
      <c r="R6" t="inlineStr">
        <is>
          <t>MAIN STREET DEVELOPMENT PARTNERS LLC</t>
        </is>
      </c>
      <c r="S6" t="inlineStr">
        <is>
          <t>33133-5345</t>
        </is>
      </c>
      <c r="T6" t="inlineStr"/>
      <c r="U6" t="inlineStr">
        <is>
          <t>OWN0004</t>
        </is>
      </c>
      <c r="V6">
        <f>HYPERLINK("#'By Owner'!A5", "OWN0004")</f>
        <v/>
      </c>
    </row>
    <row r="7">
      <c r="A7" t="inlineStr">
        <is>
          <t>Bartlett &amp; Shock Sub</t>
        </is>
      </c>
      <c r="B7" t="inlineStr"/>
      <c r="C7" t="inlineStr">
        <is>
          <t>WHITE FLAME PROPERTY DEVELOPMENT LLC</t>
        </is>
      </c>
      <c r="D7" t="inlineStr">
        <is>
          <t>Yes</t>
        </is>
      </c>
      <c r="E7" t="inlineStr">
        <is>
          <t>C/O KEN NELSON</t>
        </is>
      </c>
      <c r="F7" t="inlineStr">
        <is>
          <t>PO BOX 4389</t>
        </is>
      </c>
      <c r="G7" t="inlineStr">
        <is>
          <t>Breckenridge</t>
        </is>
      </c>
      <c r="H7" t="inlineStr">
        <is>
          <t>CO</t>
        </is>
      </c>
      <c r="I7" t="inlineStr">
        <is>
          <t>80424</t>
        </is>
      </c>
      <c r="J7" t="inlineStr">
        <is>
          <t>80424-4389</t>
        </is>
      </c>
      <c r="K7" t="inlineStr">
        <is>
          <t>BARTLETT &amp; SHOCK SUB</t>
        </is>
      </c>
      <c r="L7" t="inlineStr">
        <is>
          <t>300299</t>
        </is>
      </c>
      <c r="M7" t="inlineStr"/>
      <c r="N7" t="inlineStr"/>
      <c r="O7" t="inlineStr"/>
      <c r="P7" t="inlineStr"/>
      <c r="Q7" t="inlineStr"/>
      <c r="R7" t="inlineStr">
        <is>
          <t>WHITE FLAME PROPERTY DEVELOPMENT LLC</t>
        </is>
      </c>
      <c r="S7" t="inlineStr">
        <is>
          <t>80424-4389</t>
        </is>
      </c>
      <c r="T7" t="inlineStr"/>
      <c r="U7" t="inlineStr">
        <is>
          <t>OWN0005</t>
        </is>
      </c>
      <c r="V7">
        <f>HYPERLINK("#'By Owner'!A6", "OWN0005")</f>
        <v/>
      </c>
    </row>
    <row r="8">
      <c r="A8" t="inlineStr">
        <is>
          <t>Bartlett &amp; Shock Sub</t>
        </is>
      </c>
      <c r="B8" t="inlineStr"/>
      <c r="C8" t="inlineStr">
        <is>
          <t>Timothy J Casey</t>
        </is>
      </c>
      <c r="D8" t="inlineStr">
        <is>
          <t>No</t>
        </is>
      </c>
      <c r="E8" t="inlineStr">
        <is>
          <t>PO BOX 1605</t>
        </is>
      </c>
      <c r="F8" t="inlineStr"/>
      <c r="G8" t="inlineStr">
        <is>
          <t>Breckenridge</t>
        </is>
      </c>
      <c r="H8" t="inlineStr">
        <is>
          <t>CO</t>
        </is>
      </c>
      <c r="I8" t="inlineStr">
        <is>
          <t>80424</t>
        </is>
      </c>
      <c r="J8" t="inlineStr">
        <is>
          <t>80424-1605</t>
        </is>
      </c>
      <c r="K8" t="inlineStr">
        <is>
          <t>BARTLETT &amp; SHOCK SUB</t>
        </is>
      </c>
      <c r="L8" t="inlineStr">
        <is>
          <t>300300</t>
        </is>
      </c>
      <c r="M8" t="inlineStr">
        <is>
          <t>Timothy</t>
        </is>
      </c>
      <c r="N8" t="inlineStr">
        <is>
          <t>J</t>
        </is>
      </c>
      <c r="O8" t="inlineStr">
        <is>
          <t>Casey</t>
        </is>
      </c>
      <c r="P8" t="inlineStr"/>
      <c r="Q8" t="inlineStr"/>
      <c r="R8" t="inlineStr"/>
      <c r="S8" t="inlineStr">
        <is>
          <t>80424-1605</t>
        </is>
      </c>
      <c r="T8" t="inlineStr"/>
      <c r="U8" t="inlineStr">
        <is>
          <t>OWN0006</t>
        </is>
      </c>
      <c r="V8">
        <f>HYPERLINK("#'By Owner'!A7", "OWN0006")</f>
        <v/>
      </c>
    </row>
    <row r="9">
      <c r="A9" t="inlineStr">
        <is>
          <t>Bartlett &amp; Shock Sub</t>
        </is>
      </c>
      <c r="B9" t="inlineStr"/>
      <c r="C9" t="inlineStr">
        <is>
          <t>ANDREWS COLORADO LLC</t>
        </is>
      </c>
      <c r="D9" t="inlineStr">
        <is>
          <t>Yes</t>
        </is>
      </c>
      <c r="E9" t="inlineStr">
        <is>
          <t>C/O REBECCA ANDREWS</t>
        </is>
      </c>
      <c r="F9" t="inlineStr">
        <is>
          <t>482 TERRA VISTA CCT</t>
        </is>
      </c>
      <c r="G9" t="inlineStr">
        <is>
          <t>Naples</t>
        </is>
      </c>
      <c r="H9" t="inlineStr">
        <is>
          <t>FL</t>
        </is>
      </c>
      <c r="I9" t="inlineStr">
        <is>
          <t>34119</t>
        </is>
      </c>
      <c r="J9" t="inlineStr">
        <is>
          <t>34119-1820</t>
        </is>
      </c>
      <c r="K9" t="inlineStr">
        <is>
          <t>BARTLETT &amp; SHOCK SUB</t>
        </is>
      </c>
      <c r="L9" t="inlineStr">
        <is>
          <t>302244</t>
        </is>
      </c>
      <c r="M9" t="inlineStr"/>
      <c r="N9" t="inlineStr"/>
      <c r="O9" t="inlineStr"/>
      <c r="P9" t="inlineStr"/>
      <c r="Q9" t="inlineStr"/>
      <c r="R9" t="inlineStr">
        <is>
          <t>ANDREWS COLORADO LLC</t>
        </is>
      </c>
      <c r="S9" t="inlineStr">
        <is>
          <t>34119-1820</t>
        </is>
      </c>
      <c r="T9" t="inlineStr"/>
      <c r="U9" t="inlineStr">
        <is>
          <t>OWN0007</t>
        </is>
      </c>
      <c r="V9">
        <f>HYPERLINK("#'By Owner'!A8", "OWN0007")</f>
        <v/>
      </c>
    </row>
    <row r="10">
      <c r="A10" t="inlineStr">
        <is>
          <t>Bartlett &amp; Shock Sub</t>
        </is>
      </c>
      <c r="B10" t="inlineStr"/>
      <c r="C10" t="inlineStr">
        <is>
          <t>ST PROPERTIES LLC</t>
        </is>
      </c>
      <c r="D10" t="inlineStr">
        <is>
          <t>Yes</t>
        </is>
      </c>
      <c r="E10" t="inlineStr">
        <is>
          <t>C/O SHEMI SHLOMO</t>
        </is>
      </c>
      <c r="F10" t="inlineStr">
        <is>
          <t>PO BOX 3082</t>
        </is>
      </c>
      <c r="G10" t="inlineStr">
        <is>
          <t>Breckenridge</t>
        </is>
      </c>
      <c r="H10" t="inlineStr">
        <is>
          <t>CO</t>
        </is>
      </c>
      <c r="I10" t="inlineStr">
        <is>
          <t>80424</t>
        </is>
      </c>
      <c r="J10" t="inlineStr">
        <is>
          <t>80424-3082</t>
        </is>
      </c>
      <c r="K10" t="inlineStr">
        <is>
          <t>BARTLETT &amp; SHOCK SUB</t>
        </is>
      </c>
      <c r="L10" t="inlineStr">
        <is>
          <t>302531</t>
        </is>
      </c>
      <c r="M10" t="inlineStr"/>
      <c r="N10" t="inlineStr"/>
      <c r="O10" t="inlineStr"/>
      <c r="P10" t="inlineStr"/>
      <c r="Q10" t="inlineStr"/>
      <c r="R10" t="inlineStr">
        <is>
          <t>ST PROPERTIES LLC</t>
        </is>
      </c>
      <c r="S10" t="inlineStr">
        <is>
          <t>80424-3082</t>
        </is>
      </c>
      <c r="T10" t="inlineStr"/>
      <c r="U10" t="inlineStr">
        <is>
          <t>OWN0008</t>
        </is>
      </c>
      <c r="V10">
        <f>HYPERLINK("#'By Owner'!A9", "OWN0008")</f>
        <v/>
      </c>
    </row>
    <row r="11">
      <c r="A11" t="inlineStr">
        <is>
          <t>Bartlett &amp; Shock Sub</t>
        </is>
      </c>
      <c r="B11" t="inlineStr"/>
      <c r="C11" t="inlineStr">
        <is>
          <t>DRCM MINING LLC</t>
        </is>
      </c>
      <c r="D11" t="inlineStr">
        <is>
          <t>Yes</t>
        </is>
      </c>
      <c r="E11" t="inlineStr">
        <is>
          <t>PO BOX 5021</t>
        </is>
      </c>
      <c r="F11" t="inlineStr"/>
      <c r="G11" t="inlineStr">
        <is>
          <t>Breckenridge</t>
        </is>
      </c>
      <c r="H11" t="inlineStr">
        <is>
          <t>CO</t>
        </is>
      </c>
      <c r="I11" t="inlineStr">
        <is>
          <t>80424</t>
        </is>
      </c>
      <c r="J11" t="inlineStr">
        <is>
          <t>80424-5021</t>
        </is>
      </c>
      <c r="K11" t="inlineStr">
        <is>
          <t>BARTLETT &amp; SHOCK SUB</t>
        </is>
      </c>
      <c r="L11" t="inlineStr">
        <is>
          <t>302532</t>
        </is>
      </c>
      <c r="M11" t="inlineStr"/>
      <c r="N11" t="inlineStr"/>
      <c r="O11" t="inlineStr"/>
      <c r="P11" t="inlineStr"/>
      <c r="Q11" t="inlineStr"/>
      <c r="R11" t="inlineStr">
        <is>
          <t>DRCM MINING LLC</t>
        </is>
      </c>
      <c r="S11" t="inlineStr">
        <is>
          <t>80424-5021</t>
        </is>
      </c>
      <c r="T11" t="inlineStr"/>
      <c r="U11" t="inlineStr">
        <is>
          <t>OWN0009</t>
        </is>
      </c>
      <c r="V11">
        <f>HYPERLINK("#'By Owner'!A10", "OWN0009")</f>
        <v/>
      </c>
    </row>
    <row r="12">
      <c r="A12" t="inlineStr">
        <is>
          <t>Bartlett &amp; Shock Sub</t>
        </is>
      </c>
      <c r="B12" t="inlineStr"/>
      <c r="C12" t="inlineStr">
        <is>
          <t>Breckenridge Town Of</t>
        </is>
      </c>
      <c r="D12" t="inlineStr">
        <is>
          <t>No</t>
        </is>
      </c>
      <c r="E12" t="inlineStr">
        <is>
          <t>PO BOX 168</t>
        </is>
      </c>
      <c r="F12" t="inlineStr"/>
      <c r="G12" t="inlineStr">
        <is>
          <t>Breckenridge</t>
        </is>
      </c>
      <c r="H12" t="inlineStr">
        <is>
          <t>CO</t>
        </is>
      </c>
      <c r="I12" t="inlineStr">
        <is>
          <t>80424</t>
        </is>
      </c>
      <c r="J12" t="inlineStr">
        <is>
          <t>80424</t>
        </is>
      </c>
      <c r="K12" t="inlineStr">
        <is>
          <t>BARTLETT &amp; SHOCK SUB</t>
        </is>
      </c>
      <c r="L12" t="inlineStr">
        <is>
          <t>4008966</t>
        </is>
      </c>
      <c r="M12" t="inlineStr">
        <is>
          <t>Breckenridge</t>
        </is>
      </c>
      <c r="N12" t="inlineStr">
        <is>
          <t>Town</t>
        </is>
      </c>
      <c r="O12" t="inlineStr">
        <is>
          <t>Of</t>
        </is>
      </c>
      <c r="P12" t="inlineStr"/>
      <c r="Q12" t="inlineStr"/>
      <c r="R12" t="inlineStr"/>
      <c r="S12" t="inlineStr">
        <is>
          <t>80424</t>
        </is>
      </c>
      <c r="T12" t="inlineStr"/>
      <c r="U12" t="inlineStr">
        <is>
          <t>OWN0002</t>
        </is>
      </c>
      <c r="V12">
        <f>HYPERLINK("#'By Owner'!A3", "OWN0002")</f>
        <v/>
      </c>
    </row>
    <row r="13">
      <c r="A13" t="inlineStr">
        <is>
          <t>Bartlett &amp; Shock Sub</t>
        </is>
      </c>
      <c r="B13" t="inlineStr"/>
      <c r="C13" t="inlineStr">
        <is>
          <t>STORM-CARLETON FAMILY TRUST</t>
        </is>
      </c>
      <c r="D13" t="inlineStr">
        <is>
          <t>Yes</t>
        </is>
      </c>
      <c r="E13" t="inlineStr">
        <is>
          <t>PO BOX 1958</t>
        </is>
      </c>
      <c r="F13" t="inlineStr"/>
      <c r="G13" t="inlineStr">
        <is>
          <t>Breckenridge</t>
        </is>
      </c>
      <c r="H13" t="inlineStr">
        <is>
          <t>CO</t>
        </is>
      </c>
      <c r="I13" t="inlineStr">
        <is>
          <t>80424</t>
        </is>
      </c>
      <c r="J13" t="inlineStr">
        <is>
          <t>80424-1956</t>
        </is>
      </c>
      <c r="K13" t="inlineStr">
        <is>
          <t>BARTLETT &amp; SHOCK SUB</t>
        </is>
      </c>
      <c r="L13" t="inlineStr">
        <is>
          <t>6505324</t>
        </is>
      </c>
      <c r="M13" t="inlineStr"/>
      <c r="N13" t="inlineStr"/>
      <c r="O13" t="inlineStr"/>
      <c r="P13" t="inlineStr"/>
      <c r="Q13" t="inlineStr"/>
      <c r="R13" t="inlineStr">
        <is>
          <t>STORM-CARLETON FAMILY TRUST</t>
        </is>
      </c>
      <c r="S13" t="inlineStr">
        <is>
          <t>80424-1956</t>
        </is>
      </c>
      <c r="T13" t="inlineStr"/>
      <c r="U13" t="inlineStr">
        <is>
          <t>OWN0010</t>
        </is>
      </c>
      <c r="V13">
        <f>HYPERLINK("#'By Owner'!A11", "OWN0010")</f>
        <v/>
      </c>
    </row>
    <row r="14">
      <c r="A14" t="inlineStr">
        <is>
          <t>Bartlett &amp; Shock Sub</t>
        </is>
      </c>
      <c r="B14" t="inlineStr"/>
      <c r="C14" t="inlineStr">
        <is>
          <t>DICK &amp; JANE OFFICES LLC</t>
        </is>
      </c>
      <c r="D14" t="inlineStr">
        <is>
          <t>Yes</t>
        </is>
      </c>
      <c r="E14" t="inlineStr">
        <is>
          <t>PO BOX 1958</t>
        </is>
      </c>
      <c r="F14" t="inlineStr"/>
      <c r="G14" t="inlineStr">
        <is>
          <t>Breckenridge</t>
        </is>
      </c>
      <c r="H14" t="inlineStr">
        <is>
          <t>CO</t>
        </is>
      </c>
      <c r="I14" t="inlineStr">
        <is>
          <t>80424</t>
        </is>
      </c>
      <c r="J14" t="inlineStr">
        <is>
          <t>80424-1956</t>
        </is>
      </c>
      <c r="K14" t="inlineStr">
        <is>
          <t>BARTLETT &amp; SHOCK SUB</t>
        </is>
      </c>
      <c r="L14" t="inlineStr">
        <is>
          <t>6505324</t>
        </is>
      </c>
      <c r="M14" t="inlineStr"/>
      <c r="N14" t="inlineStr"/>
      <c r="O14" t="inlineStr"/>
      <c r="P14" t="inlineStr"/>
      <c r="Q14" t="inlineStr"/>
      <c r="R14" t="inlineStr">
        <is>
          <t>DICK &amp; JANE OFFICES LLC</t>
        </is>
      </c>
      <c r="S14" t="inlineStr">
        <is>
          <t>80424-1956</t>
        </is>
      </c>
      <c r="T14" t="inlineStr"/>
      <c r="U14" t="inlineStr">
        <is>
          <t>OWN0011</t>
        </is>
      </c>
      <c r="V14">
        <f>HYPERLINK("#'By Owner'!A12", "OWN0011")</f>
        <v/>
      </c>
    </row>
    <row r="15">
      <c r="A15" t="inlineStr">
        <is>
          <t>Bartlett &amp; Shock Sub</t>
        </is>
      </c>
      <c r="B15" t="inlineStr"/>
      <c r="C15" t="inlineStr">
        <is>
          <t>UP YOUR IMAGE INC</t>
        </is>
      </c>
      <c r="D15" t="inlineStr">
        <is>
          <t>Yes</t>
        </is>
      </c>
      <c r="E15" t="inlineStr">
        <is>
          <t>PO BOX 1189</t>
        </is>
      </c>
      <c r="F15" t="inlineStr"/>
      <c r="G15" t="inlineStr">
        <is>
          <t>Breckenridge</t>
        </is>
      </c>
      <c r="H15" t="inlineStr">
        <is>
          <t>CO</t>
        </is>
      </c>
      <c r="I15" t="inlineStr">
        <is>
          <t>80424</t>
        </is>
      </c>
      <c r="J15" t="inlineStr">
        <is>
          <t>80424</t>
        </is>
      </c>
      <c r="K15" t="inlineStr">
        <is>
          <t>BARTLETT &amp; SHOCK SUB</t>
        </is>
      </c>
      <c r="L15" t="inlineStr">
        <is>
          <t>6505325</t>
        </is>
      </c>
      <c r="M15" t="inlineStr"/>
      <c r="N15" t="inlineStr"/>
      <c r="O15" t="inlineStr"/>
      <c r="P15" t="inlineStr"/>
      <c r="Q15" t="inlineStr"/>
      <c r="R15" t="inlineStr">
        <is>
          <t>UP YOUR IMAGE INC</t>
        </is>
      </c>
      <c r="S15" t="inlineStr">
        <is>
          <t>80424</t>
        </is>
      </c>
      <c r="T15" t="inlineStr"/>
      <c r="U15" t="inlineStr">
        <is>
          <t>OWN0012</t>
        </is>
      </c>
      <c r="V15">
        <f>HYPERLINK("#'By Owner'!A13", "OWN0012")</f>
        <v/>
      </c>
    </row>
    <row r="16">
      <c r="A16" t="inlineStr">
        <is>
          <t>Lincoln West Mall</t>
        </is>
      </c>
      <c r="B16" t="inlineStr">
        <is>
          <t>G1</t>
        </is>
      </c>
      <c r="C16" t="inlineStr">
        <is>
          <t>LEAHY BRECKENRIDGE LLC</t>
        </is>
      </c>
      <c r="D16" t="inlineStr">
        <is>
          <t>Yes</t>
        </is>
      </c>
      <c r="E16" t="inlineStr">
        <is>
          <t>2096 NUTMEG AVE</t>
        </is>
      </c>
      <c r="F16" t="inlineStr"/>
      <c r="G16" t="inlineStr">
        <is>
          <t>Fairfield</t>
        </is>
      </c>
      <c r="H16" t="inlineStr">
        <is>
          <t>IA</t>
        </is>
      </c>
      <c r="I16" t="inlineStr">
        <is>
          <t>52556</t>
        </is>
      </c>
      <c r="J16" t="inlineStr">
        <is>
          <t>52556-8562</t>
        </is>
      </c>
      <c r="K16" t="inlineStr">
        <is>
          <t>LINCOLN WEST MALL CONDO</t>
        </is>
      </c>
      <c r="L16" t="inlineStr">
        <is>
          <t>6506092</t>
        </is>
      </c>
      <c r="M16" t="inlineStr"/>
      <c r="N16" t="inlineStr"/>
      <c r="O16" t="inlineStr"/>
      <c r="P16" t="inlineStr"/>
      <c r="Q16" t="inlineStr"/>
      <c r="R16" t="inlineStr">
        <is>
          <t>LEAHY BRECKENRIDGE LLC</t>
        </is>
      </c>
      <c r="S16" t="inlineStr">
        <is>
          <t>52556-8562</t>
        </is>
      </c>
      <c r="T16" t="inlineStr"/>
      <c r="U16" t="inlineStr">
        <is>
          <t>OWN0013</t>
        </is>
      </c>
      <c r="V16">
        <f>HYPERLINK("#'By Owner'!A14", "OWN0013")</f>
        <v/>
      </c>
    </row>
    <row r="17">
      <c r="A17" t="inlineStr">
        <is>
          <t>Lincoln West Mall</t>
        </is>
      </c>
      <c r="B17" t="inlineStr">
        <is>
          <t>G2</t>
        </is>
      </c>
      <c r="C17" t="inlineStr">
        <is>
          <t>LEAHY BRECKENRIDGE LLC</t>
        </is>
      </c>
      <c r="D17" t="inlineStr">
        <is>
          <t>Yes</t>
        </is>
      </c>
      <c r="E17" t="inlineStr">
        <is>
          <t>2096 NUTMEG AVE</t>
        </is>
      </c>
      <c r="F17" t="inlineStr"/>
      <c r="G17" t="inlineStr">
        <is>
          <t>Fairfield</t>
        </is>
      </c>
      <c r="H17" t="inlineStr">
        <is>
          <t>IA</t>
        </is>
      </c>
      <c r="I17" t="inlineStr">
        <is>
          <t>52556</t>
        </is>
      </c>
      <c r="J17" t="inlineStr">
        <is>
          <t>52556-8562</t>
        </is>
      </c>
      <c r="K17" t="inlineStr">
        <is>
          <t>LINCOLN WEST MALL CONDO</t>
        </is>
      </c>
      <c r="L17" t="inlineStr">
        <is>
          <t>6506093</t>
        </is>
      </c>
      <c r="M17" t="inlineStr"/>
      <c r="N17" t="inlineStr"/>
      <c r="O17" t="inlineStr"/>
      <c r="P17" t="inlineStr"/>
      <c r="Q17" t="inlineStr"/>
      <c r="R17" t="inlineStr">
        <is>
          <t>LEAHY BRECKENRIDGE LLC</t>
        </is>
      </c>
      <c r="S17" t="inlineStr">
        <is>
          <t>52556-8562</t>
        </is>
      </c>
      <c r="T17" t="inlineStr"/>
      <c r="U17" t="inlineStr">
        <is>
          <t>OWN0013</t>
        </is>
      </c>
      <c r="V17">
        <f>HYPERLINK("#'By Owner'!A14", "OWN0013")</f>
        <v/>
      </c>
    </row>
    <row r="18">
      <c r="A18" t="inlineStr">
        <is>
          <t>Lincoln West Mall</t>
        </is>
      </c>
      <c r="B18" t="inlineStr">
        <is>
          <t>G3A</t>
        </is>
      </c>
      <c r="C18" t="inlineStr">
        <is>
          <t>JSA CAPITAL COLORADO #1 LLC</t>
        </is>
      </c>
      <c r="D18" t="inlineStr">
        <is>
          <t>Yes</t>
        </is>
      </c>
      <c r="E18" t="inlineStr">
        <is>
          <t>PO BOX 372</t>
        </is>
      </c>
      <c r="F18" t="inlineStr"/>
      <c r="G18" t="inlineStr">
        <is>
          <t>Mercer Island</t>
        </is>
      </c>
      <c r="H18" t="inlineStr">
        <is>
          <t>WA</t>
        </is>
      </c>
      <c r="I18" t="inlineStr">
        <is>
          <t>98040</t>
        </is>
      </c>
      <c r="J18" t="inlineStr">
        <is>
          <t>98040-0372</t>
        </is>
      </c>
      <c r="K18" t="inlineStr">
        <is>
          <t>LINCOLN WEST MALL CONDO</t>
        </is>
      </c>
      <c r="L18" t="inlineStr">
        <is>
          <t>6506094</t>
        </is>
      </c>
      <c r="M18" t="inlineStr"/>
      <c r="N18" t="inlineStr"/>
      <c r="O18" t="inlineStr"/>
      <c r="P18" t="inlineStr"/>
      <c r="Q18" t="inlineStr"/>
      <c r="R18" t="inlineStr">
        <is>
          <t>JSA CAPITAL COLORADO #1 LLC</t>
        </is>
      </c>
      <c r="S18" t="inlineStr">
        <is>
          <t>98040-0372</t>
        </is>
      </c>
      <c r="T18" t="inlineStr"/>
      <c r="U18" t="inlineStr">
        <is>
          <t>OWN0014</t>
        </is>
      </c>
      <c r="V18">
        <f>HYPERLINK("#'By Owner'!A15", "OWN0014")</f>
        <v/>
      </c>
    </row>
    <row r="19">
      <c r="A19" t="inlineStr">
        <is>
          <t>Lincoln West Mall</t>
        </is>
      </c>
      <c r="B19" t="inlineStr">
        <is>
          <t>G3B</t>
        </is>
      </c>
      <c r="C19" t="inlineStr">
        <is>
          <t>JSA CAPITAL COLORADO #1 LLC</t>
        </is>
      </c>
      <c r="D19" t="inlineStr">
        <is>
          <t>Yes</t>
        </is>
      </c>
      <c r="E19" t="inlineStr">
        <is>
          <t>PO BOX 372</t>
        </is>
      </c>
      <c r="F19" t="inlineStr"/>
      <c r="G19" t="inlineStr">
        <is>
          <t>Mercer Island</t>
        </is>
      </c>
      <c r="H19" t="inlineStr">
        <is>
          <t>WA</t>
        </is>
      </c>
      <c r="I19" t="inlineStr">
        <is>
          <t>98040</t>
        </is>
      </c>
      <c r="J19" t="inlineStr">
        <is>
          <t>98040-0372</t>
        </is>
      </c>
      <c r="K19" t="inlineStr">
        <is>
          <t>LINCOLN WEST MALL CONDO</t>
        </is>
      </c>
      <c r="L19" t="inlineStr">
        <is>
          <t>6506096</t>
        </is>
      </c>
      <c r="M19" t="inlineStr"/>
      <c r="N19" t="inlineStr"/>
      <c r="O19" t="inlineStr"/>
      <c r="P19" t="inlineStr"/>
      <c r="Q19" t="inlineStr"/>
      <c r="R19" t="inlineStr">
        <is>
          <t>JSA CAPITAL COLORADO #1 LLC</t>
        </is>
      </c>
      <c r="S19" t="inlineStr">
        <is>
          <t>98040-0372</t>
        </is>
      </c>
      <c r="T19" t="inlineStr"/>
      <c r="U19" t="inlineStr">
        <is>
          <t>OWN0014</t>
        </is>
      </c>
      <c r="V19">
        <f>HYPERLINK("#'By Owner'!A15", "OWN0014")</f>
        <v/>
      </c>
    </row>
    <row r="20">
      <c r="A20" t="inlineStr">
        <is>
          <t>Lincoln West Mall</t>
        </is>
      </c>
      <c r="B20" t="inlineStr">
        <is>
          <t>G4A</t>
        </is>
      </c>
      <c r="C20" t="inlineStr">
        <is>
          <t>BABICH MOUNTAIN PROPERTIES LLC</t>
        </is>
      </c>
      <c r="D20" t="inlineStr">
        <is>
          <t>Yes</t>
        </is>
      </c>
      <c r="E20" t="inlineStr">
        <is>
          <t>PO BOX 6591</t>
        </is>
      </c>
      <c r="F20" t="inlineStr"/>
      <c r="G20" t="inlineStr">
        <is>
          <t>Breckenridge</t>
        </is>
      </c>
      <c r="H20" t="inlineStr">
        <is>
          <t>CO</t>
        </is>
      </c>
      <c r="I20" t="inlineStr">
        <is>
          <t>80424</t>
        </is>
      </c>
      <c r="J20" t="inlineStr">
        <is>
          <t>80424-6591</t>
        </is>
      </c>
      <c r="K20" t="inlineStr">
        <is>
          <t>LINCOLN WEST MALL CONDO</t>
        </is>
      </c>
      <c r="L20" t="inlineStr">
        <is>
          <t>6506097</t>
        </is>
      </c>
      <c r="M20" t="inlineStr"/>
      <c r="N20" t="inlineStr"/>
      <c r="O20" t="inlineStr"/>
      <c r="P20" t="inlineStr"/>
      <c r="Q20" t="inlineStr"/>
      <c r="R20" t="inlineStr">
        <is>
          <t>BABICH MOUNTAIN PROPERTIES LLC</t>
        </is>
      </c>
      <c r="S20" t="inlineStr">
        <is>
          <t>80424-6591</t>
        </is>
      </c>
      <c r="T20" t="inlineStr"/>
      <c r="U20" t="inlineStr">
        <is>
          <t>OWN0015</t>
        </is>
      </c>
      <c r="V20">
        <f>HYPERLINK("#'By Owner'!A16", "OWN0015")</f>
        <v/>
      </c>
    </row>
    <row r="21">
      <c r="A21" t="inlineStr">
        <is>
          <t>Lincoln West Mall</t>
        </is>
      </c>
      <c r="B21" t="inlineStr">
        <is>
          <t>G4B</t>
        </is>
      </c>
      <c r="C21" t="inlineStr">
        <is>
          <t>BABICH MOUNTAIN PROPERTIES LLC</t>
        </is>
      </c>
      <c r="D21" t="inlineStr">
        <is>
          <t>Yes</t>
        </is>
      </c>
      <c r="E21" t="inlineStr">
        <is>
          <t>PO BOX 6591</t>
        </is>
      </c>
      <c r="F21" t="inlineStr"/>
      <c r="G21" t="inlineStr">
        <is>
          <t>Breckenridge</t>
        </is>
      </c>
      <c r="H21" t="inlineStr">
        <is>
          <t>CO</t>
        </is>
      </c>
      <c r="I21" t="inlineStr">
        <is>
          <t>80424</t>
        </is>
      </c>
      <c r="J21" t="inlineStr">
        <is>
          <t>80424-6591</t>
        </is>
      </c>
      <c r="K21" t="inlineStr">
        <is>
          <t>LINCOLN WEST MALL CONDO</t>
        </is>
      </c>
      <c r="L21" t="inlineStr">
        <is>
          <t>6506098</t>
        </is>
      </c>
      <c r="M21" t="inlineStr"/>
      <c r="N21" t="inlineStr"/>
      <c r="O21" t="inlineStr"/>
      <c r="P21" t="inlineStr"/>
      <c r="Q21" t="inlineStr"/>
      <c r="R21" t="inlineStr">
        <is>
          <t>BABICH MOUNTAIN PROPERTIES LLC</t>
        </is>
      </c>
      <c r="S21" t="inlineStr">
        <is>
          <t>80424-6591</t>
        </is>
      </c>
      <c r="T21" t="inlineStr"/>
      <c r="U21" t="inlineStr">
        <is>
          <t>OWN0015</t>
        </is>
      </c>
      <c r="V21">
        <f>HYPERLINK("#'By Owner'!A16", "OWN0015")</f>
        <v/>
      </c>
    </row>
    <row r="22">
      <c r="A22" t="inlineStr">
        <is>
          <t>Lincoln West Mall</t>
        </is>
      </c>
      <c r="B22" t="inlineStr">
        <is>
          <t>G5A</t>
        </is>
      </c>
      <c r="C22" t="inlineStr">
        <is>
          <t>PEAK 7 DEVELOPMENT COMPANY LLC</t>
        </is>
      </c>
      <c r="D22" t="inlineStr">
        <is>
          <t>Yes</t>
        </is>
      </c>
      <c r="E22" t="inlineStr">
        <is>
          <t>PO BOX 6879</t>
        </is>
      </c>
      <c r="F22" t="inlineStr"/>
      <c r="G22" t="inlineStr">
        <is>
          <t>Breckenridge</t>
        </is>
      </c>
      <c r="H22" t="inlineStr">
        <is>
          <t>CO</t>
        </is>
      </c>
      <c r="I22" t="inlineStr">
        <is>
          <t>80424</t>
        </is>
      </c>
      <c r="J22" t="inlineStr">
        <is>
          <t>80424-6879</t>
        </is>
      </c>
      <c r="K22" t="inlineStr">
        <is>
          <t>LINCOLN WEST MALL CONDO</t>
        </is>
      </c>
      <c r="L22" t="inlineStr">
        <is>
          <t>6506099</t>
        </is>
      </c>
      <c r="M22" t="inlineStr"/>
      <c r="N22" t="inlineStr"/>
      <c r="O22" t="inlineStr"/>
      <c r="P22" t="inlineStr"/>
      <c r="Q22" t="inlineStr"/>
      <c r="R22" t="inlineStr">
        <is>
          <t>PEAK 7 DEVELOPMENT COMPANY LLC</t>
        </is>
      </c>
      <c r="S22" t="inlineStr">
        <is>
          <t>80424-6879</t>
        </is>
      </c>
      <c r="T22" t="inlineStr"/>
      <c r="U22" t="inlineStr">
        <is>
          <t>OWN0016</t>
        </is>
      </c>
      <c r="V22">
        <f>HYPERLINK("#'By Owner'!A17", "OWN0016")</f>
        <v/>
      </c>
    </row>
    <row r="23">
      <c r="A23" t="inlineStr">
        <is>
          <t>Lincoln West Mall</t>
        </is>
      </c>
      <c r="B23" t="inlineStr">
        <is>
          <t>G5B</t>
        </is>
      </c>
      <c r="C23" t="inlineStr">
        <is>
          <t>PEAK 7 DEVELOPMENT COMPANY</t>
        </is>
      </c>
      <c r="D23" t="inlineStr">
        <is>
          <t>Yes</t>
        </is>
      </c>
      <c r="E23" t="inlineStr">
        <is>
          <t>PO BOX 6879</t>
        </is>
      </c>
      <c r="F23" t="inlineStr"/>
      <c r="G23" t="inlineStr">
        <is>
          <t>Breckenridge</t>
        </is>
      </c>
      <c r="H23" t="inlineStr">
        <is>
          <t>CO</t>
        </is>
      </c>
      <c r="I23" t="inlineStr">
        <is>
          <t>80424</t>
        </is>
      </c>
      <c r="J23" t="inlineStr">
        <is>
          <t>80424-6879</t>
        </is>
      </c>
      <c r="K23" t="inlineStr">
        <is>
          <t>LINCOLN WEST MALL CONDO</t>
        </is>
      </c>
      <c r="L23" t="inlineStr">
        <is>
          <t>6506100</t>
        </is>
      </c>
      <c r="M23" t="inlineStr"/>
      <c r="N23" t="inlineStr"/>
      <c r="O23" t="inlineStr"/>
      <c r="P23" t="inlineStr"/>
      <c r="Q23" t="inlineStr"/>
      <c r="R23" t="inlineStr">
        <is>
          <t>PEAK 7 DEVELOPMENT COMPANY</t>
        </is>
      </c>
      <c r="S23" t="inlineStr">
        <is>
          <t>80424-6879</t>
        </is>
      </c>
      <c r="T23" t="inlineStr"/>
      <c r="U23" t="inlineStr">
        <is>
          <t>OWN0017</t>
        </is>
      </c>
      <c r="V23">
        <f>HYPERLINK("#'By Owner'!A18", "OWN0017")</f>
        <v/>
      </c>
    </row>
    <row r="24">
      <c r="A24" t="inlineStr">
        <is>
          <t>Lincoln West Mall</t>
        </is>
      </c>
      <c r="B24" t="inlineStr">
        <is>
          <t>G6</t>
        </is>
      </c>
      <c r="C24" t="inlineStr">
        <is>
          <t>PEAK 8 PROPERTIES LLC</t>
        </is>
      </c>
      <c r="D24" t="inlineStr">
        <is>
          <t>Yes</t>
        </is>
      </c>
      <c r="E24" t="inlineStr">
        <is>
          <t>PO BOX 6879</t>
        </is>
      </c>
      <c r="F24" t="inlineStr"/>
      <c r="G24" t="inlineStr">
        <is>
          <t>Breckenridge</t>
        </is>
      </c>
      <c r="H24" t="inlineStr">
        <is>
          <t>CO</t>
        </is>
      </c>
      <c r="I24" t="inlineStr">
        <is>
          <t>80424</t>
        </is>
      </c>
      <c r="J24" t="inlineStr">
        <is>
          <t>80424-6879</t>
        </is>
      </c>
      <c r="K24" t="inlineStr">
        <is>
          <t>LINCOLN WEST MALL CONDO</t>
        </is>
      </c>
      <c r="L24" t="inlineStr">
        <is>
          <t>6506101</t>
        </is>
      </c>
      <c r="M24" t="inlineStr"/>
      <c r="N24" t="inlineStr"/>
      <c r="O24" t="inlineStr"/>
      <c r="P24" t="inlineStr"/>
      <c r="Q24" t="inlineStr"/>
      <c r="R24" t="inlineStr">
        <is>
          <t>PEAK 8 PROPERTIES LLC</t>
        </is>
      </c>
      <c r="S24" t="inlineStr">
        <is>
          <t>80424-6879</t>
        </is>
      </c>
      <c r="T24" t="inlineStr"/>
      <c r="U24" t="inlineStr">
        <is>
          <t>OWN0018</t>
        </is>
      </c>
      <c r="V24">
        <f>HYPERLINK("#'By Owner'!A19", "OWN0018")</f>
        <v/>
      </c>
    </row>
    <row r="25">
      <c r="A25" t="inlineStr">
        <is>
          <t>Lincoln West Mall</t>
        </is>
      </c>
      <c r="B25" t="inlineStr">
        <is>
          <t>G7</t>
        </is>
      </c>
      <c r="C25" t="inlineStr">
        <is>
          <t>PEAK 8 PROPERTIES LLC</t>
        </is>
      </c>
      <c r="D25" t="inlineStr">
        <is>
          <t>Yes</t>
        </is>
      </c>
      <c r="E25" t="inlineStr">
        <is>
          <t>PO BOX 6879</t>
        </is>
      </c>
      <c r="F25" t="inlineStr"/>
      <c r="G25" t="inlineStr">
        <is>
          <t>Breckenridge</t>
        </is>
      </c>
      <c r="H25" t="inlineStr">
        <is>
          <t>CO</t>
        </is>
      </c>
      <c r="I25" t="inlineStr">
        <is>
          <t>80424</t>
        </is>
      </c>
      <c r="J25" t="inlineStr">
        <is>
          <t>80424-6879</t>
        </is>
      </c>
      <c r="K25" t="inlineStr">
        <is>
          <t>LINCOLN WEST MALL CONDO</t>
        </is>
      </c>
      <c r="L25" t="inlineStr">
        <is>
          <t>6506102</t>
        </is>
      </c>
      <c r="M25" t="inlineStr"/>
      <c r="N25" t="inlineStr"/>
      <c r="O25" t="inlineStr"/>
      <c r="P25" t="inlineStr"/>
      <c r="Q25" t="inlineStr"/>
      <c r="R25" t="inlineStr">
        <is>
          <t>PEAK 8 PROPERTIES LLC</t>
        </is>
      </c>
      <c r="S25" t="inlineStr">
        <is>
          <t>80424-6879</t>
        </is>
      </c>
      <c r="T25" t="inlineStr"/>
      <c r="U25" t="inlineStr">
        <is>
          <t>OWN0018</t>
        </is>
      </c>
      <c r="V25">
        <f>HYPERLINK("#'By Owner'!A19", "OWN0018")</f>
        <v/>
      </c>
    </row>
    <row r="26">
      <c r="A26" t="inlineStr">
        <is>
          <t>Lincoln West Mall</t>
        </is>
      </c>
      <c r="B26" t="inlineStr">
        <is>
          <t>G8</t>
        </is>
      </c>
      <c r="C26" t="inlineStr">
        <is>
          <t>LEAHY BRECKENRIDGE LLC</t>
        </is>
      </c>
      <c r="D26" t="inlineStr">
        <is>
          <t>Yes</t>
        </is>
      </c>
      <c r="E26" t="inlineStr">
        <is>
          <t>2096 NUTMEG AVE</t>
        </is>
      </c>
      <c r="F26" t="inlineStr"/>
      <c r="G26" t="inlineStr">
        <is>
          <t>Fairfield</t>
        </is>
      </c>
      <c r="H26" t="inlineStr">
        <is>
          <t>IA</t>
        </is>
      </c>
      <c r="I26" t="inlineStr">
        <is>
          <t>52556</t>
        </is>
      </c>
      <c r="J26" t="inlineStr">
        <is>
          <t>52556-0856</t>
        </is>
      </c>
      <c r="K26" t="inlineStr">
        <is>
          <t>LINCOLN WEST MALL CONDO</t>
        </is>
      </c>
      <c r="L26" t="inlineStr">
        <is>
          <t>6506103</t>
        </is>
      </c>
      <c r="M26" t="inlineStr"/>
      <c r="N26" t="inlineStr"/>
      <c r="O26" t="inlineStr"/>
      <c r="P26" t="inlineStr"/>
      <c r="Q26" t="inlineStr"/>
      <c r="R26" t="inlineStr">
        <is>
          <t>LEAHY BRECKENRIDGE LLC</t>
        </is>
      </c>
      <c r="S26" t="inlineStr">
        <is>
          <t>52556-0856</t>
        </is>
      </c>
      <c r="T26" t="inlineStr"/>
      <c r="U26" t="inlineStr">
        <is>
          <t>OWN0013</t>
        </is>
      </c>
      <c r="V26">
        <f>HYPERLINK("#'By Owner'!A14", "OWN0013")</f>
        <v/>
      </c>
    </row>
    <row r="27">
      <c r="A27" t="inlineStr">
        <is>
          <t>Lincoln West Mall</t>
        </is>
      </c>
      <c r="B27" t="inlineStr">
        <is>
          <t>G9</t>
        </is>
      </c>
      <c r="C27" t="inlineStr">
        <is>
          <t>LEAHY BRECKENRIDGE LLC</t>
        </is>
      </c>
      <c r="D27" t="inlineStr">
        <is>
          <t>Yes</t>
        </is>
      </c>
      <c r="E27" t="inlineStr">
        <is>
          <t>2096 NUTMEG AVE</t>
        </is>
      </c>
      <c r="F27" t="inlineStr"/>
      <c r="G27" t="inlineStr">
        <is>
          <t>Fairfield</t>
        </is>
      </c>
      <c r="H27" t="inlineStr">
        <is>
          <t>IA</t>
        </is>
      </c>
      <c r="I27" t="inlineStr">
        <is>
          <t>52556</t>
        </is>
      </c>
      <c r="J27" t="inlineStr">
        <is>
          <t>52556-8562</t>
        </is>
      </c>
      <c r="K27" t="inlineStr">
        <is>
          <t>LINCOLN WEST MALL CONDO</t>
        </is>
      </c>
      <c r="L27" t="inlineStr">
        <is>
          <t>6506104</t>
        </is>
      </c>
      <c r="M27" t="inlineStr"/>
      <c r="N27" t="inlineStr"/>
      <c r="O27" t="inlineStr"/>
      <c r="P27" t="inlineStr"/>
      <c r="Q27" t="inlineStr"/>
      <c r="R27" t="inlineStr">
        <is>
          <t>LEAHY BRECKENRIDGE LLC</t>
        </is>
      </c>
      <c r="S27" t="inlineStr">
        <is>
          <t>52556-8562</t>
        </is>
      </c>
      <c r="T27" t="inlineStr"/>
      <c r="U27" t="inlineStr">
        <is>
          <t>OWN0013</t>
        </is>
      </c>
      <c r="V27">
        <f>HYPERLINK("#'By Owner'!A14", "OWN0013")</f>
        <v/>
      </c>
    </row>
    <row r="28">
      <c r="A28" t="inlineStr">
        <is>
          <t>Lincoln West Mall</t>
        </is>
      </c>
      <c r="B28" t="inlineStr">
        <is>
          <t>U1</t>
        </is>
      </c>
      <c r="C28" t="inlineStr">
        <is>
          <t>GOLD POINT LODGING &amp; REALTY INC</t>
        </is>
      </c>
      <c r="D28" t="inlineStr">
        <is>
          <t>Yes</t>
        </is>
      </c>
      <c r="E28" t="inlineStr">
        <is>
          <t>PO BOX 568</t>
        </is>
      </c>
      <c r="F28" t="inlineStr"/>
      <c r="G28" t="inlineStr">
        <is>
          <t>Breckenridge</t>
        </is>
      </c>
      <c r="H28" t="inlineStr">
        <is>
          <t>CO</t>
        </is>
      </c>
      <c r="I28" t="inlineStr">
        <is>
          <t>80424</t>
        </is>
      </c>
      <c r="J28" t="inlineStr">
        <is>
          <t>80424-0568</t>
        </is>
      </c>
      <c r="K28" t="inlineStr">
        <is>
          <t>LINCOLN WEST MALL CONDO</t>
        </is>
      </c>
      <c r="L28" t="inlineStr">
        <is>
          <t>6506105</t>
        </is>
      </c>
      <c r="M28" t="inlineStr"/>
      <c r="N28" t="inlineStr"/>
      <c r="O28" t="inlineStr"/>
      <c r="P28" t="inlineStr"/>
      <c r="Q28" t="inlineStr"/>
      <c r="R28" t="inlineStr">
        <is>
          <t>GOLD POINT LODGING &amp; REALTY INC</t>
        </is>
      </c>
      <c r="S28" t="inlineStr">
        <is>
          <t>80424-0568</t>
        </is>
      </c>
      <c r="T28" t="inlineStr"/>
      <c r="U28" t="inlineStr">
        <is>
          <t>OWN0019</t>
        </is>
      </c>
      <c r="V28">
        <f>HYPERLINK("#'By Owner'!A20", "OWN0019")</f>
        <v/>
      </c>
    </row>
    <row r="29">
      <c r="A29" t="inlineStr">
        <is>
          <t>Lincoln West Mall</t>
        </is>
      </c>
      <c r="B29" t="inlineStr">
        <is>
          <t>U2</t>
        </is>
      </c>
      <c r="C29" t="inlineStr">
        <is>
          <t>Edward M Keim</t>
        </is>
      </c>
      <c r="D29" t="inlineStr">
        <is>
          <t>No</t>
        </is>
      </c>
      <c r="E29" t="inlineStr">
        <is>
          <t>PO BOX 8410</t>
        </is>
      </c>
      <c r="F29" t="inlineStr"/>
      <c r="G29" t="inlineStr">
        <is>
          <t>Breckenridge</t>
        </is>
      </c>
      <c r="H29" t="inlineStr">
        <is>
          <t>CO</t>
        </is>
      </c>
      <c r="I29" t="inlineStr">
        <is>
          <t>80424</t>
        </is>
      </c>
      <c r="J29" t="inlineStr">
        <is>
          <t>80424-8410</t>
        </is>
      </c>
      <c r="K29" t="inlineStr">
        <is>
          <t>LINCOLN WEST MALL CONDO</t>
        </is>
      </c>
      <c r="L29" t="inlineStr">
        <is>
          <t>6506106</t>
        </is>
      </c>
      <c r="M29" t="inlineStr">
        <is>
          <t>Edward</t>
        </is>
      </c>
      <c r="N29" t="inlineStr">
        <is>
          <t>M</t>
        </is>
      </c>
      <c r="O29" t="inlineStr">
        <is>
          <t>Keim</t>
        </is>
      </c>
      <c r="P29" t="inlineStr"/>
      <c r="Q29" t="inlineStr"/>
      <c r="R29" t="inlineStr"/>
      <c r="S29" t="inlineStr">
        <is>
          <t>80424-8410</t>
        </is>
      </c>
      <c r="T29" t="inlineStr"/>
      <c r="U29" t="inlineStr">
        <is>
          <t>OWN0020</t>
        </is>
      </c>
      <c r="V29">
        <f>HYPERLINK("#'By Owner'!A21", "OWN0020")</f>
        <v/>
      </c>
    </row>
    <row r="30">
      <c r="A30" t="inlineStr">
        <is>
          <t>Lincoln West Mall</t>
        </is>
      </c>
      <c r="B30" t="inlineStr">
        <is>
          <t>U2</t>
        </is>
      </c>
      <c r="C30" t="inlineStr">
        <is>
          <t>Judith A Keim</t>
        </is>
      </c>
      <c r="D30" t="inlineStr">
        <is>
          <t>No</t>
        </is>
      </c>
      <c r="E30" t="inlineStr">
        <is>
          <t>PO BOX 8410</t>
        </is>
      </c>
      <c r="F30" t="inlineStr"/>
      <c r="G30" t="inlineStr">
        <is>
          <t>Breckenridge</t>
        </is>
      </c>
      <c r="H30" t="inlineStr">
        <is>
          <t>CO</t>
        </is>
      </c>
      <c r="I30" t="inlineStr">
        <is>
          <t>80424</t>
        </is>
      </c>
      <c r="J30" t="inlineStr">
        <is>
          <t>80424-8410</t>
        </is>
      </c>
      <c r="K30" t="inlineStr">
        <is>
          <t>LINCOLN WEST MALL CONDO</t>
        </is>
      </c>
      <c r="L30" t="inlineStr">
        <is>
          <t>6506106</t>
        </is>
      </c>
      <c r="M30" t="inlineStr">
        <is>
          <t>Judith</t>
        </is>
      </c>
      <c r="N30" t="inlineStr">
        <is>
          <t>A</t>
        </is>
      </c>
      <c r="O30" t="inlineStr">
        <is>
          <t>Keim</t>
        </is>
      </c>
      <c r="P30" t="inlineStr"/>
      <c r="Q30" t="inlineStr"/>
      <c r="R30" t="inlineStr"/>
      <c r="S30" t="inlineStr">
        <is>
          <t>80424-8410</t>
        </is>
      </c>
      <c r="T30" t="inlineStr"/>
      <c r="U30" t="inlineStr">
        <is>
          <t>OWN0021</t>
        </is>
      </c>
      <c r="V30">
        <f>HYPERLINK("#'By Owner'!A22", "OWN0021")</f>
        <v/>
      </c>
    </row>
    <row r="31">
      <c r="A31" t="inlineStr">
        <is>
          <t>Lincoln West Mall</t>
        </is>
      </c>
      <c r="B31" t="inlineStr">
        <is>
          <t>U3A</t>
        </is>
      </c>
      <c r="C31" t="inlineStr">
        <is>
          <t>GOLD POINT LODGING &amp; REALTY INC</t>
        </is>
      </c>
      <c r="D31" t="inlineStr">
        <is>
          <t>Yes</t>
        </is>
      </c>
      <c r="E31" t="inlineStr">
        <is>
          <t>PO BOX 568</t>
        </is>
      </c>
      <c r="F31" t="inlineStr"/>
      <c r="G31" t="inlineStr">
        <is>
          <t>Breckenridge</t>
        </is>
      </c>
      <c r="H31" t="inlineStr">
        <is>
          <t>CO</t>
        </is>
      </c>
      <c r="I31" t="inlineStr">
        <is>
          <t>80424</t>
        </is>
      </c>
      <c r="J31" t="inlineStr">
        <is>
          <t>80424</t>
        </is>
      </c>
      <c r="K31" t="inlineStr">
        <is>
          <t>LINCOLN WEST MALL CONDO</t>
        </is>
      </c>
      <c r="L31" t="inlineStr">
        <is>
          <t>6506107</t>
        </is>
      </c>
      <c r="M31" t="inlineStr"/>
      <c r="N31" t="inlineStr"/>
      <c r="O31" t="inlineStr"/>
      <c r="P31" t="inlineStr"/>
      <c r="Q31" t="inlineStr"/>
      <c r="R31" t="inlineStr">
        <is>
          <t>GOLD POINT LODGING &amp; REALTY INC</t>
        </is>
      </c>
      <c r="S31" t="inlineStr">
        <is>
          <t>80424</t>
        </is>
      </c>
      <c r="T31" t="inlineStr"/>
      <c r="U31" t="inlineStr">
        <is>
          <t>OWN0019</t>
        </is>
      </c>
      <c r="V31">
        <f>HYPERLINK("#'By Owner'!A20", "OWN0019")</f>
        <v/>
      </c>
    </row>
    <row r="32">
      <c r="A32" t="inlineStr">
        <is>
          <t>Lincoln West Mall</t>
        </is>
      </c>
      <c r="B32" t="inlineStr">
        <is>
          <t>U3B</t>
        </is>
      </c>
      <c r="C32" t="inlineStr">
        <is>
          <t>GOLD POINT LODGING &amp; REALTY INC</t>
        </is>
      </c>
      <c r="D32" t="inlineStr">
        <is>
          <t>Yes</t>
        </is>
      </c>
      <c r="E32" t="inlineStr">
        <is>
          <t>PO BOX 568</t>
        </is>
      </c>
      <c r="F32" t="inlineStr"/>
      <c r="G32" t="inlineStr">
        <is>
          <t>Breckenridge</t>
        </is>
      </c>
      <c r="H32" t="inlineStr">
        <is>
          <t>CO</t>
        </is>
      </c>
      <c r="I32" t="inlineStr">
        <is>
          <t>80424</t>
        </is>
      </c>
      <c r="J32" t="inlineStr">
        <is>
          <t>80424</t>
        </is>
      </c>
      <c r="K32" t="inlineStr">
        <is>
          <t>LINCOLN WEST MALL CONDO</t>
        </is>
      </c>
      <c r="L32" t="inlineStr">
        <is>
          <t>6506108</t>
        </is>
      </c>
      <c r="M32" t="inlineStr"/>
      <c r="N32" t="inlineStr"/>
      <c r="O32" t="inlineStr"/>
      <c r="P32" t="inlineStr"/>
      <c r="Q32" t="inlineStr"/>
      <c r="R32" t="inlineStr">
        <is>
          <t>GOLD POINT LODGING &amp; REALTY INC</t>
        </is>
      </c>
      <c r="S32" t="inlineStr">
        <is>
          <t>80424</t>
        </is>
      </c>
      <c r="T32" t="inlineStr"/>
      <c r="U32" t="inlineStr">
        <is>
          <t>OWN0019</t>
        </is>
      </c>
      <c r="V32">
        <f>HYPERLINK("#'By Owner'!A20", "OWN0019")</f>
        <v/>
      </c>
    </row>
    <row r="33">
      <c r="A33" t="inlineStr">
        <is>
          <t>Lincoln West Mall</t>
        </is>
      </c>
      <c r="B33" t="inlineStr">
        <is>
          <t>U3C</t>
        </is>
      </c>
      <c r="C33" t="inlineStr">
        <is>
          <t>GOLD POINT LODGING &amp; REALTY INC</t>
        </is>
      </c>
      <c r="D33" t="inlineStr">
        <is>
          <t>Yes</t>
        </is>
      </c>
      <c r="E33" t="inlineStr">
        <is>
          <t>PO BOX 568</t>
        </is>
      </c>
      <c r="F33" t="inlineStr"/>
      <c r="G33" t="inlineStr">
        <is>
          <t>Breckenridge</t>
        </is>
      </c>
      <c r="H33" t="inlineStr">
        <is>
          <t>CO</t>
        </is>
      </c>
      <c r="I33" t="inlineStr">
        <is>
          <t>80424</t>
        </is>
      </c>
      <c r="J33" t="inlineStr">
        <is>
          <t>80424</t>
        </is>
      </c>
      <c r="K33" t="inlineStr">
        <is>
          <t>LINCOLN WEST MALL CONDO</t>
        </is>
      </c>
      <c r="L33" t="inlineStr">
        <is>
          <t>6506109</t>
        </is>
      </c>
      <c r="M33" t="inlineStr"/>
      <c r="N33" t="inlineStr"/>
      <c r="O33" t="inlineStr"/>
      <c r="P33" t="inlineStr"/>
      <c r="Q33" t="inlineStr"/>
      <c r="R33" t="inlineStr">
        <is>
          <t>GOLD POINT LODGING &amp; REALTY INC</t>
        </is>
      </c>
      <c r="S33" t="inlineStr">
        <is>
          <t>80424</t>
        </is>
      </c>
      <c r="T33" t="inlineStr"/>
      <c r="U33" t="inlineStr">
        <is>
          <t>OWN0019</t>
        </is>
      </c>
      <c r="V33">
        <f>HYPERLINK("#'By Owner'!A20", "OWN0019")</f>
        <v/>
      </c>
    </row>
    <row r="34">
      <c r="A34" t="inlineStr">
        <is>
          <t>Lincoln West Mall</t>
        </is>
      </c>
      <c r="B34" t="inlineStr">
        <is>
          <t>U4</t>
        </is>
      </c>
      <c r="C34" t="inlineStr">
        <is>
          <t>GOLD POINT LODGING &amp; REALTY INC</t>
        </is>
      </c>
      <c r="D34" t="inlineStr">
        <is>
          <t>Yes</t>
        </is>
      </c>
      <c r="E34" t="inlineStr">
        <is>
          <t>PO BOX 568</t>
        </is>
      </c>
      <c r="F34" t="inlineStr"/>
      <c r="G34" t="inlineStr">
        <is>
          <t>Breckenridge</t>
        </is>
      </c>
      <c r="H34" t="inlineStr">
        <is>
          <t>CO</t>
        </is>
      </c>
      <c r="I34" t="inlineStr">
        <is>
          <t>80424</t>
        </is>
      </c>
      <c r="J34" t="inlineStr">
        <is>
          <t>80424</t>
        </is>
      </c>
      <c r="K34" t="inlineStr">
        <is>
          <t>LINCOLN WEST MALL CONDO</t>
        </is>
      </c>
      <c r="L34" t="inlineStr">
        <is>
          <t>6506110</t>
        </is>
      </c>
      <c r="M34" t="inlineStr"/>
      <c r="N34" t="inlineStr"/>
      <c r="O34" t="inlineStr"/>
      <c r="P34" t="inlineStr"/>
      <c r="Q34" t="inlineStr"/>
      <c r="R34" t="inlineStr">
        <is>
          <t>GOLD POINT LODGING &amp; REALTY INC</t>
        </is>
      </c>
      <c r="S34" t="inlineStr">
        <is>
          <t>80424</t>
        </is>
      </c>
      <c r="T34" t="inlineStr"/>
      <c r="U34" t="inlineStr">
        <is>
          <t>OWN0019</t>
        </is>
      </c>
      <c r="V34">
        <f>HYPERLINK("#'By Owner'!A20", "OWN0019")</f>
        <v/>
      </c>
    </row>
    <row r="35">
      <c r="A35" t="inlineStr">
        <is>
          <t>Lincoln West Mall</t>
        </is>
      </c>
      <c r="B35" t="inlineStr">
        <is>
          <t>U5</t>
        </is>
      </c>
      <c r="C35" t="inlineStr">
        <is>
          <t>GOLD POINT LODGING &amp; REALTY INC</t>
        </is>
      </c>
      <c r="D35" t="inlineStr">
        <is>
          <t>Yes</t>
        </is>
      </c>
      <c r="E35" t="inlineStr">
        <is>
          <t>PO BOX 568</t>
        </is>
      </c>
      <c r="F35" t="inlineStr"/>
      <c r="G35" t="inlineStr">
        <is>
          <t>Breckenridge</t>
        </is>
      </c>
      <c r="H35" t="inlineStr">
        <is>
          <t>CO</t>
        </is>
      </c>
      <c r="I35" t="inlineStr">
        <is>
          <t>80424</t>
        </is>
      </c>
      <c r="J35" t="inlineStr">
        <is>
          <t>80424</t>
        </is>
      </c>
      <c r="K35" t="inlineStr">
        <is>
          <t>LINCOLN WEST MALL CONDO</t>
        </is>
      </c>
      <c r="L35" t="inlineStr">
        <is>
          <t>6506111</t>
        </is>
      </c>
      <c r="M35" t="inlineStr"/>
      <c r="N35" t="inlineStr"/>
      <c r="O35" t="inlineStr"/>
      <c r="P35" t="inlineStr"/>
      <c r="Q35" t="inlineStr"/>
      <c r="R35" t="inlineStr">
        <is>
          <t>GOLD POINT LODGING &amp; REALTY INC</t>
        </is>
      </c>
      <c r="S35" t="inlineStr">
        <is>
          <t>80424</t>
        </is>
      </c>
      <c r="T35" t="inlineStr"/>
      <c r="U35" t="inlineStr">
        <is>
          <t>OWN0019</t>
        </is>
      </c>
      <c r="V35">
        <f>HYPERLINK("#'By Owner'!A20", "OWN0019")</f>
        <v/>
      </c>
    </row>
    <row r="36">
      <c r="A36" t="inlineStr">
        <is>
          <t>Lincoln West Mall</t>
        </is>
      </c>
      <c r="B36" t="inlineStr">
        <is>
          <t>U6A</t>
        </is>
      </c>
      <c r="C36" t="inlineStr">
        <is>
          <t>GOLD POINT LODGING &amp; REALTY INC</t>
        </is>
      </c>
      <c r="D36" t="inlineStr">
        <is>
          <t>Yes</t>
        </is>
      </c>
      <c r="E36" t="inlineStr">
        <is>
          <t>PO BOX 568</t>
        </is>
      </c>
      <c r="F36" t="inlineStr"/>
      <c r="G36" t="inlineStr">
        <is>
          <t>Breckenridge</t>
        </is>
      </c>
      <c r="H36" t="inlineStr">
        <is>
          <t>CO</t>
        </is>
      </c>
      <c r="I36" t="inlineStr">
        <is>
          <t>80424</t>
        </is>
      </c>
      <c r="J36" t="inlineStr">
        <is>
          <t>80424</t>
        </is>
      </c>
      <c r="K36" t="inlineStr">
        <is>
          <t>LINCOLN WEST MALL CONDO</t>
        </is>
      </c>
      <c r="L36" t="inlineStr">
        <is>
          <t>6506112</t>
        </is>
      </c>
      <c r="M36" t="inlineStr"/>
      <c r="N36" t="inlineStr"/>
      <c r="O36" t="inlineStr"/>
      <c r="P36" t="inlineStr"/>
      <c r="Q36" t="inlineStr"/>
      <c r="R36" t="inlineStr">
        <is>
          <t>GOLD POINT LODGING &amp; REALTY INC</t>
        </is>
      </c>
      <c r="S36" t="inlineStr">
        <is>
          <t>80424</t>
        </is>
      </c>
      <c r="T36" t="inlineStr"/>
      <c r="U36" t="inlineStr">
        <is>
          <t>OWN0019</t>
        </is>
      </c>
      <c r="V36">
        <f>HYPERLINK("#'By Owner'!A20", "OWN0019")</f>
        <v/>
      </c>
    </row>
    <row r="37">
      <c r="A37" t="inlineStr">
        <is>
          <t>Lincoln West Mall</t>
        </is>
      </c>
      <c r="B37" t="inlineStr">
        <is>
          <t>U6B</t>
        </is>
      </c>
      <c r="C37" t="inlineStr">
        <is>
          <t>GOLD POINT LODGING &amp; REALTY INC</t>
        </is>
      </c>
      <c r="D37" t="inlineStr">
        <is>
          <t>Yes</t>
        </is>
      </c>
      <c r="E37" t="inlineStr">
        <is>
          <t>PO BOX 568</t>
        </is>
      </c>
      <c r="F37" t="inlineStr"/>
      <c r="G37" t="inlineStr">
        <is>
          <t>Breckenridge</t>
        </is>
      </c>
      <c r="H37" t="inlineStr">
        <is>
          <t>CO</t>
        </is>
      </c>
      <c r="I37" t="inlineStr">
        <is>
          <t>80424</t>
        </is>
      </c>
      <c r="J37" t="inlineStr">
        <is>
          <t>80424</t>
        </is>
      </c>
      <c r="K37" t="inlineStr">
        <is>
          <t>LINCOLN WEST MALL CONDO</t>
        </is>
      </c>
      <c r="L37" t="inlineStr">
        <is>
          <t>6506113</t>
        </is>
      </c>
      <c r="M37" t="inlineStr"/>
      <c r="N37" t="inlineStr"/>
      <c r="O37" t="inlineStr"/>
      <c r="P37" t="inlineStr"/>
      <c r="Q37" t="inlineStr"/>
      <c r="R37" t="inlineStr">
        <is>
          <t>GOLD POINT LODGING &amp; REALTY INC</t>
        </is>
      </c>
      <c r="S37" t="inlineStr">
        <is>
          <t>80424</t>
        </is>
      </c>
      <c r="T37" t="inlineStr"/>
      <c r="U37" t="inlineStr">
        <is>
          <t>OWN0019</t>
        </is>
      </c>
      <c r="V37">
        <f>HYPERLINK("#'By Owner'!A20", "OWN0019")</f>
        <v/>
      </c>
    </row>
    <row r="38">
      <c r="A38" t="inlineStr">
        <is>
          <t>Lincoln West Mall</t>
        </is>
      </c>
      <c r="B38" t="inlineStr">
        <is>
          <t>U7</t>
        </is>
      </c>
      <c r="C38" t="inlineStr">
        <is>
          <t>GOLD POINT LODGING &amp; REALTY INC</t>
        </is>
      </c>
      <c r="D38" t="inlineStr">
        <is>
          <t>Yes</t>
        </is>
      </c>
      <c r="E38" t="inlineStr">
        <is>
          <t>PO BOX 568</t>
        </is>
      </c>
      <c r="F38" t="inlineStr"/>
      <c r="G38" t="inlineStr">
        <is>
          <t>Breckenridge</t>
        </is>
      </c>
      <c r="H38" t="inlineStr">
        <is>
          <t>CO</t>
        </is>
      </c>
      <c r="I38" t="inlineStr">
        <is>
          <t>80424</t>
        </is>
      </c>
      <c r="J38" t="inlineStr">
        <is>
          <t>80424</t>
        </is>
      </c>
      <c r="K38" t="inlineStr">
        <is>
          <t>LINCOLN WEST MALL CONDO</t>
        </is>
      </c>
      <c r="L38" t="inlineStr">
        <is>
          <t>6506114</t>
        </is>
      </c>
      <c r="M38" t="inlineStr"/>
      <c r="N38" t="inlineStr"/>
      <c r="O38" t="inlineStr"/>
      <c r="P38" t="inlineStr"/>
      <c r="Q38" t="inlineStr"/>
      <c r="R38" t="inlineStr">
        <is>
          <t>GOLD POINT LODGING &amp; REALTY INC</t>
        </is>
      </c>
      <c r="S38" t="inlineStr">
        <is>
          <t>80424</t>
        </is>
      </c>
      <c r="T38" t="inlineStr"/>
      <c r="U38" t="inlineStr">
        <is>
          <t>OWN0019</t>
        </is>
      </c>
      <c r="V38">
        <f>HYPERLINK("#'By Owner'!A20", "OWN0019")</f>
        <v/>
      </c>
    </row>
    <row r="39">
      <c r="A39" t="inlineStr">
        <is>
          <t>Lincoln West Mall</t>
        </is>
      </c>
      <c r="B39" t="inlineStr"/>
      <c r="C39" t="inlineStr">
        <is>
          <t>Lincoln West Mall Condo Association</t>
        </is>
      </c>
      <c r="D39" t="inlineStr">
        <is>
          <t>No</t>
        </is>
      </c>
      <c r="E39" t="inlineStr">
        <is>
          <t>7170 WOELFEL RD</t>
        </is>
      </c>
      <c r="F39" t="inlineStr"/>
      <c r="G39" t="inlineStr">
        <is>
          <t>Franklin</t>
        </is>
      </c>
      <c r="H39" t="inlineStr">
        <is>
          <t>WI</t>
        </is>
      </c>
      <c r="I39" t="inlineStr">
        <is>
          <t>53132</t>
        </is>
      </c>
      <c r="J39" t="inlineStr">
        <is>
          <t>53132</t>
        </is>
      </c>
      <c r="K39" t="inlineStr">
        <is>
          <t>LINCOLN WEST MALL CONDO</t>
        </is>
      </c>
      <c r="L39" t="inlineStr">
        <is>
          <t>6506091</t>
        </is>
      </c>
      <c r="M39" t="inlineStr">
        <is>
          <t>Lincoln</t>
        </is>
      </c>
      <c r="N39" t="inlineStr">
        <is>
          <t>West Mall Condo</t>
        </is>
      </c>
      <c r="O39" t="inlineStr">
        <is>
          <t>Association</t>
        </is>
      </c>
      <c r="P39" t="inlineStr"/>
      <c r="Q39" t="inlineStr"/>
      <c r="R39" t="inlineStr"/>
      <c r="S39" t="inlineStr">
        <is>
          <t>53132</t>
        </is>
      </c>
      <c r="T39" t="inlineStr"/>
      <c r="U39" t="inlineStr">
        <is>
          <t>OWN0022</t>
        </is>
      </c>
      <c r="V39">
        <f>HYPERLINK("#'By Owner'!A23", "OWN0022")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ID</t>
        </is>
      </c>
      <c r="B1" t="inlineStr">
        <is>
          <t>Owner Name</t>
        </is>
      </c>
      <c r="C1" t="inlineStr">
        <is>
          <t>First name</t>
        </is>
      </c>
      <c r="D1" t="inlineStr">
        <is>
          <t>Middle</t>
        </is>
      </c>
      <c r="E1" t="inlineStr">
        <is>
          <t>Last Name</t>
        </is>
      </c>
      <c r="F1" t="inlineStr">
        <is>
          <t>Suffix</t>
        </is>
      </c>
      <c r="G1" t="inlineStr">
        <is>
          <t>Company (Required if last name is not provided)</t>
        </is>
      </c>
      <c r="H1" t="inlineStr">
        <is>
          <t>Address Line 1</t>
        </is>
      </c>
      <c r="I1" t="inlineStr">
        <is>
          <t>Address Line 2</t>
        </is>
      </c>
      <c r="J1" t="inlineStr">
        <is>
          <t>City (Required)</t>
        </is>
      </c>
      <c r="K1" t="inlineStr">
        <is>
          <t>State</t>
        </is>
      </c>
      <c r="L1" t="inlineStr">
        <is>
          <t>Zip5</t>
        </is>
      </c>
      <c r="M1" t="inlineStr">
        <is>
          <t>Zip9</t>
        </is>
      </c>
      <c r="N1" t="inlineStr">
        <is>
          <t>Property Count</t>
        </is>
      </c>
      <c r="O1" t="inlineStr">
        <is>
          <t>Linked Properties</t>
        </is>
      </c>
    </row>
    <row r="2">
      <c r="A2">
        <f>HYPERLINK("#'By Complex'!A2", "OWN0001")</f>
        <v/>
      </c>
      <c r="B2" t="inlineStr">
        <is>
          <t>BIRD &amp; COW LLC</t>
        </is>
      </c>
      <c r="C2" t="inlineStr"/>
      <c r="D2" t="inlineStr"/>
      <c r="E2" t="inlineStr"/>
      <c r="F2" t="inlineStr"/>
      <c r="G2" t="inlineStr">
        <is>
          <t>BIRD &amp; COW LLC</t>
        </is>
      </c>
      <c r="H2" t="inlineStr">
        <is>
          <t>PO BOX 4443</t>
        </is>
      </c>
      <c r="I2" t="inlineStr"/>
      <c r="J2" t="inlineStr">
        <is>
          <t>Breckenridge</t>
        </is>
      </c>
      <c r="K2" t="inlineStr">
        <is>
          <t>CO</t>
        </is>
      </c>
      <c r="L2" t="inlineStr">
        <is>
          <t>80424</t>
        </is>
      </c>
      <c r="M2" t="inlineStr">
        <is>
          <t>80424-4443</t>
        </is>
      </c>
      <c r="N2" t="n">
        <v>1</v>
      </c>
      <c r="O2" s="1">
        <f>HYPERLINK("#'By Complex'!A2", "Abbetts Addition Sub 304455")</f>
        <v/>
      </c>
    </row>
    <row r="3">
      <c r="A3">
        <f>HYPERLINK("#'By Complex'!A3", "OWN0002")</f>
        <v/>
      </c>
      <c r="B3" t="inlineStr">
        <is>
          <t>Breckenridge Town Of</t>
        </is>
      </c>
      <c r="C3" t="inlineStr">
        <is>
          <t>Breckenridge</t>
        </is>
      </c>
      <c r="D3" t="inlineStr">
        <is>
          <t>Town</t>
        </is>
      </c>
      <c r="E3" t="inlineStr">
        <is>
          <t>Of</t>
        </is>
      </c>
      <c r="F3" t="inlineStr"/>
      <c r="G3" t="inlineStr"/>
      <c r="H3" t="inlineStr">
        <is>
          <t>PO BOX 168</t>
        </is>
      </c>
      <c r="I3" t="inlineStr"/>
      <c r="J3" t="inlineStr">
        <is>
          <t>Breckenridge</t>
        </is>
      </c>
      <c r="K3" t="inlineStr">
        <is>
          <t>CO</t>
        </is>
      </c>
      <c r="L3" t="inlineStr">
        <is>
          <t>80424</t>
        </is>
      </c>
      <c r="M3" t="inlineStr">
        <is>
          <t>80424-0168</t>
        </is>
      </c>
      <c r="N3" t="n">
        <v>3</v>
      </c>
      <c r="O3" s="1">
        <f>HYPERLINK("#'By Complex'!A3", "Arts District Sub 6516174")&amp;CHAR(10)&amp;=HYPERLINK("#'By Complex'!A4", "Arts District Sub 6516175")&amp;CHAR(10)&amp;=HYPERLINK("#'By Complex'!A12", "Bartlett &amp; Shock Sub 4008966")</f>
        <v/>
      </c>
    </row>
    <row r="4">
      <c r="A4">
        <f>HYPERLINK("#'By Complex'!A5", "OWN0003")</f>
        <v/>
      </c>
      <c r="B4" t="inlineStr">
        <is>
          <t>Breckenridge Creative Arts</t>
        </is>
      </c>
      <c r="C4" t="inlineStr">
        <is>
          <t>Breckenridge</t>
        </is>
      </c>
      <c r="D4" t="inlineStr">
        <is>
          <t>Creative</t>
        </is>
      </c>
      <c r="E4" t="inlineStr">
        <is>
          <t>Arts</t>
        </is>
      </c>
      <c r="F4" t="inlineStr"/>
      <c r="G4" t="inlineStr"/>
      <c r="H4" t="inlineStr">
        <is>
          <t>PO BOX 4269</t>
        </is>
      </c>
      <c r="I4" t="inlineStr"/>
      <c r="J4" t="inlineStr">
        <is>
          <t>Breckenridge</t>
        </is>
      </c>
      <c r="K4" t="inlineStr">
        <is>
          <t>CO</t>
        </is>
      </c>
      <c r="L4" t="inlineStr">
        <is>
          <t>80424</t>
        </is>
      </c>
      <c r="M4" t="inlineStr">
        <is>
          <t>80424-4269</t>
        </is>
      </c>
      <c r="N4" t="n">
        <v>1</v>
      </c>
      <c r="O4" s="1">
        <f>HYPERLINK("#'By Complex'!A5", "Arts District Sub 6518672")</f>
        <v/>
      </c>
    </row>
    <row r="5">
      <c r="A5">
        <f>HYPERLINK("#'By Complex'!A6", "OWN0004")</f>
        <v/>
      </c>
      <c r="B5" t="inlineStr">
        <is>
          <t>MAIN STREET DEVELOPMENT PARTNERS LLC</t>
        </is>
      </c>
      <c r="C5" t="inlineStr"/>
      <c r="D5" t="inlineStr"/>
      <c r="E5" t="inlineStr"/>
      <c r="F5" t="inlineStr"/>
      <c r="G5" t="inlineStr">
        <is>
          <t>MAIN STREET DEVELOPMENT PARTNERS LLC</t>
        </is>
      </c>
      <c r="H5" t="inlineStr">
        <is>
          <t>2850 TIGERTAIL AVE STE 400</t>
        </is>
      </c>
      <c r="I5" t="inlineStr"/>
      <c r="J5" t="inlineStr">
        <is>
          <t>Coconut Grove</t>
        </is>
      </c>
      <c r="K5" t="inlineStr">
        <is>
          <t>FL</t>
        </is>
      </c>
      <c r="L5" t="inlineStr">
        <is>
          <t>33133</t>
        </is>
      </c>
      <c r="M5" t="inlineStr">
        <is>
          <t>33133-5345</t>
        </is>
      </c>
      <c r="N5" t="n">
        <v>1</v>
      </c>
      <c r="O5" s="1">
        <f>HYPERLINK("#'By Complex'!A6", "Bartlett &amp; Shock Sub 300280")</f>
        <v/>
      </c>
    </row>
    <row r="6">
      <c r="A6">
        <f>HYPERLINK("#'By Complex'!A7", "OWN0005")</f>
        <v/>
      </c>
      <c r="B6" t="inlineStr">
        <is>
          <t>WHITE FLAME PROPERTY DEVELOPMENT LLC</t>
        </is>
      </c>
      <c r="C6" t="inlineStr"/>
      <c r="D6" t="inlineStr"/>
      <c r="E6" t="inlineStr"/>
      <c r="F6" t="inlineStr"/>
      <c r="G6" t="inlineStr">
        <is>
          <t>WHITE FLAME PROPERTY DEVELOPMENT LLC</t>
        </is>
      </c>
      <c r="H6" t="inlineStr">
        <is>
          <t>C/O KEN NELSON</t>
        </is>
      </c>
      <c r="I6" t="inlineStr">
        <is>
          <t>PO BOX 4389</t>
        </is>
      </c>
      <c r="J6" t="inlineStr">
        <is>
          <t>Breckenridge</t>
        </is>
      </c>
      <c r="K6" t="inlineStr">
        <is>
          <t>CO</t>
        </is>
      </c>
      <c r="L6" t="inlineStr">
        <is>
          <t>80424</t>
        </is>
      </c>
      <c r="M6" t="inlineStr">
        <is>
          <t>80424-4389</t>
        </is>
      </c>
      <c r="N6" t="n">
        <v>1</v>
      </c>
      <c r="O6" s="1">
        <f>HYPERLINK("#'By Complex'!A7", "Bartlett &amp; Shock Sub 300299")</f>
        <v/>
      </c>
    </row>
    <row r="7">
      <c r="A7">
        <f>HYPERLINK("#'By Complex'!A8", "OWN0006")</f>
        <v/>
      </c>
      <c r="B7" t="inlineStr">
        <is>
          <t>Timothy J Casey</t>
        </is>
      </c>
      <c r="C7" t="inlineStr">
        <is>
          <t>Timothy</t>
        </is>
      </c>
      <c r="D7" t="inlineStr">
        <is>
          <t>J</t>
        </is>
      </c>
      <c r="E7" t="inlineStr">
        <is>
          <t>Casey</t>
        </is>
      </c>
      <c r="F7" t="inlineStr"/>
      <c r="G7" t="inlineStr"/>
      <c r="H7" t="inlineStr">
        <is>
          <t>PO BOX 1605</t>
        </is>
      </c>
      <c r="I7" t="inlineStr"/>
      <c r="J7" t="inlineStr">
        <is>
          <t>Breckenridge</t>
        </is>
      </c>
      <c r="K7" t="inlineStr">
        <is>
          <t>CO</t>
        </is>
      </c>
      <c r="L7" t="inlineStr">
        <is>
          <t>80424</t>
        </is>
      </c>
      <c r="M7" t="inlineStr">
        <is>
          <t>80424-1605</t>
        </is>
      </c>
      <c r="N7" t="n">
        <v>1</v>
      </c>
      <c r="O7" s="1">
        <f>HYPERLINK("#'By Complex'!A8", "Bartlett &amp; Shock Sub 300300")</f>
        <v/>
      </c>
    </row>
    <row r="8">
      <c r="A8">
        <f>HYPERLINK("#'By Complex'!A9", "OWN0007")</f>
        <v/>
      </c>
      <c r="B8" t="inlineStr">
        <is>
          <t>ANDREWS COLORADO LLC</t>
        </is>
      </c>
      <c r="C8" t="inlineStr"/>
      <c r="D8" t="inlineStr"/>
      <c r="E8" t="inlineStr"/>
      <c r="F8" t="inlineStr"/>
      <c r="G8" t="inlineStr">
        <is>
          <t>ANDREWS COLORADO LLC</t>
        </is>
      </c>
      <c r="H8" t="inlineStr">
        <is>
          <t>C/O REBECCA ANDREWS</t>
        </is>
      </c>
      <c r="I8" t="inlineStr">
        <is>
          <t>482 TERRA VISTA CCT</t>
        </is>
      </c>
      <c r="J8" t="inlineStr">
        <is>
          <t>Naples</t>
        </is>
      </c>
      <c r="K8" t="inlineStr">
        <is>
          <t>FL</t>
        </is>
      </c>
      <c r="L8" t="inlineStr">
        <is>
          <t>34119</t>
        </is>
      </c>
      <c r="M8" t="inlineStr">
        <is>
          <t>34119-1820</t>
        </is>
      </c>
      <c r="N8" t="n">
        <v>1</v>
      </c>
      <c r="O8" s="1">
        <f>HYPERLINK("#'By Complex'!A9", "Bartlett &amp; Shock Sub 302244")</f>
        <v/>
      </c>
    </row>
    <row r="9">
      <c r="A9">
        <f>HYPERLINK("#'By Complex'!A10", "OWN0008")</f>
        <v/>
      </c>
      <c r="B9" t="inlineStr">
        <is>
          <t>ST PROPERTIES LLC</t>
        </is>
      </c>
      <c r="C9" t="inlineStr"/>
      <c r="D9" t="inlineStr"/>
      <c r="E9" t="inlineStr"/>
      <c r="F9" t="inlineStr"/>
      <c r="G9" t="inlineStr">
        <is>
          <t>ST PROPERTIES LLC</t>
        </is>
      </c>
      <c r="H9" t="inlineStr">
        <is>
          <t>C/O SHEMI SHLOMO</t>
        </is>
      </c>
      <c r="I9" t="inlineStr">
        <is>
          <t>PO BOX 3082</t>
        </is>
      </c>
      <c r="J9" t="inlineStr">
        <is>
          <t>Breckenridge</t>
        </is>
      </c>
      <c r="K9" t="inlineStr">
        <is>
          <t>CO</t>
        </is>
      </c>
      <c r="L9" t="inlineStr">
        <is>
          <t>80424</t>
        </is>
      </c>
      <c r="M9" t="inlineStr">
        <is>
          <t>80424-3082</t>
        </is>
      </c>
      <c r="N9" t="n">
        <v>1</v>
      </c>
      <c r="O9" s="1">
        <f>HYPERLINK("#'By Complex'!A10", "Bartlett &amp; Shock Sub 302531")</f>
        <v/>
      </c>
    </row>
    <row r="10">
      <c r="A10">
        <f>HYPERLINK("#'By Complex'!A11", "OWN0009")</f>
        <v/>
      </c>
      <c r="B10" t="inlineStr">
        <is>
          <t>DRCM MINING LLC</t>
        </is>
      </c>
      <c r="C10" t="inlineStr"/>
      <c r="D10" t="inlineStr"/>
      <c r="E10" t="inlineStr"/>
      <c r="F10" t="inlineStr"/>
      <c r="G10" t="inlineStr">
        <is>
          <t>DRCM MINING LLC</t>
        </is>
      </c>
      <c r="H10" t="inlineStr">
        <is>
          <t>PO BOX 5021</t>
        </is>
      </c>
      <c r="I10" t="inlineStr"/>
      <c r="J10" t="inlineStr">
        <is>
          <t>Breckenridge</t>
        </is>
      </c>
      <c r="K10" t="inlineStr">
        <is>
          <t>CO</t>
        </is>
      </c>
      <c r="L10" t="inlineStr">
        <is>
          <t>80424</t>
        </is>
      </c>
      <c r="M10" t="inlineStr">
        <is>
          <t>80424-5021</t>
        </is>
      </c>
      <c r="N10" t="n">
        <v>1</v>
      </c>
      <c r="O10" s="1">
        <f>HYPERLINK("#'By Complex'!A11", "Bartlett &amp; Shock Sub 302532")</f>
        <v/>
      </c>
    </row>
    <row r="11">
      <c r="A11">
        <f>HYPERLINK("#'By Complex'!A13", "OWN0010")</f>
        <v/>
      </c>
      <c r="B11" t="inlineStr">
        <is>
          <t>STORM-CARLETON FAMILY TRUST</t>
        </is>
      </c>
      <c r="C11" t="inlineStr"/>
      <c r="D11" t="inlineStr"/>
      <c r="E11" t="inlineStr"/>
      <c r="F11" t="inlineStr"/>
      <c r="G11" t="inlineStr">
        <is>
          <t>STORM-CARLETON FAMILY TRUST</t>
        </is>
      </c>
      <c r="H11" t="inlineStr">
        <is>
          <t>PO BOX 1958</t>
        </is>
      </c>
      <c r="I11" t="inlineStr"/>
      <c r="J11" t="inlineStr">
        <is>
          <t>Breckenridge</t>
        </is>
      </c>
      <c r="K11" t="inlineStr">
        <is>
          <t>CO</t>
        </is>
      </c>
      <c r="L11" t="inlineStr">
        <is>
          <t>80424</t>
        </is>
      </c>
      <c r="M11" t="inlineStr">
        <is>
          <t>80424-1956</t>
        </is>
      </c>
      <c r="N11" t="n">
        <v>1</v>
      </c>
      <c r="O11" s="1">
        <f>HYPERLINK("#'By Complex'!A13", "Bartlett &amp; Shock Sub 6505324")</f>
        <v/>
      </c>
    </row>
    <row r="12">
      <c r="A12">
        <f>HYPERLINK("#'By Complex'!A14", "OWN0011")</f>
        <v/>
      </c>
      <c r="B12" t="inlineStr">
        <is>
          <t>DICK &amp; JANE OFFICES LLC</t>
        </is>
      </c>
      <c r="C12" t="inlineStr"/>
      <c r="D12" t="inlineStr"/>
      <c r="E12" t="inlineStr"/>
      <c r="F12" t="inlineStr"/>
      <c r="G12" t="inlineStr">
        <is>
          <t>DICK &amp; JANE OFFICES LLC</t>
        </is>
      </c>
      <c r="H12" t="inlineStr">
        <is>
          <t>PO BOX 1958</t>
        </is>
      </c>
      <c r="I12" t="inlineStr"/>
      <c r="J12" t="inlineStr">
        <is>
          <t>Breckenridge</t>
        </is>
      </c>
      <c r="K12" t="inlineStr">
        <is>
          <t>CO</t>
        </is>
      </c>
      <c r="L12" t="inlineStr">
        <is>
          <t>80424</t>
        </is>
      </c>
      <c r="M12" t="inlineStr">
        <is>
          <t>80424-1956</t>
        </is>
      </c>
      <c r="N12" t="n">
        <v>1</v>
      </c>
      <c r="O12" s="1">
        <f>HYPERLINK("#'By Complex'!A14", "Bartlett &amp; Shock Sub 6505324")</f>
        <v/>
      </c>
    </row>
    <row r="13">
      <c r="A13">
        <f>HYPERLINK("#'By Complex'!A15", "OWN0012")</f>
        <v/>
      </c>
      <c r="B13" t="inlineStr">
        <is>
          <t>UP YOUR IMAGE INC</t>
        </is>
      </c>
      <c r="C13" t="inlineStr"/>
      <c r="D13" t="inlineStr"/>
      <c r="E13" t="inlineStr"/>
      <c r="F13" t="inlineStr"/>
      <c r="G13" t="inlineStr">
        <is>
          <t>UP YOUR IMAGE INC</t>
        </is>
      </c>
      <c r="H13" t="inlineStr">
        <is>
          <t>PO BOX 1189</t>
        </is>
      </c>
      <c r="I13" t="inlineStr"/>
      <c r="J13" t="inlineStr">
        <is>
          <t>Breckenridge</t>
        </is>
      </c>
      <c r="K13" t="inlineStr">
        <is>
          <t>CO</t>
        </is>
      </c>
      <c r="L13" t="inlineStr">
        <is>
          <t>80424</t>
        </is>
      </c>
      <c r="M13" t="inlineStr">
        <is>
          <t>80424</t>
        </is>
      </c>
      <c r="N13" t="n">
        <v>1</v>
      </c>
      <c r="O13" s="1">
        <f>HYPERLINK("#'By Complex'!A15", "Bartlett &amp; Shock Sub 6505325")</f>
        <v/>
      </c>
    </row>
    <row r="14">
      <c r="A14">
        <f>HYPERLINK("#'By Complex'!A16", "OWN0013")</f>
        <v/>
      </c>
      <c r="B14" t="inlineStr">
        <is>
          <t>LEAHY BRECKENRIDGE LLC</t>
        </is>
      </c>
      <c r="C14" t="inlineStr"/>
      <c r="D14" t="inlineStr"/>
      <c r="E14" t="inlineStr"/>
      <c r="F14" t="inlineStr"/>
      <c r="G14" t="inlineStr">
        <is>
          <t>LEAHY BRECKENRIDGE LLC</t>
        </is>
      </c>
      <c r="H14" t="inlineStr">
        <is>
          <t>2096 NUTMEG AVE</t>
        </is>
      </c>
      <c r="I14" t="inlineStr"/>
      <c r="J14" t="inlineStr">
        <is>
          <t>Fairfield</t>
        </is>
      </c>
      <c r="K14" t="inlineStr">
        <is>
          <t>IA</t>
        </is>
      </c>
      <c r="L14" t="inlineStr">
        <is>
          <t>52556</t>
        </is>
      </c>
      <c r="M14" t="inlineStr">
        <is>
          <t>52556-8562</t>
        </is>
      </c>
      <c r="N14" t="n">
        <v>4</v>
      </c>
      <c r="O14" s="1">
        <f>HYPERLINK("#'By Complex'!A16", "Lincoln West Mall G1")&amp;CHAR(10)&amp;=HYPERLINK("#'By Complex'!A17", "Lincoln West Mall G2")&amp;CHAR(10)&amp;=HYPERLINK("#'By Complex'!A26", "Lincoln West Mall G8")&amp;CHAR(10)&amp;=HYPERLINK("#'By Complex'!A27", "Lincoln West Mall G9")</f>
        <v/>
      </c>
    </row>
    <row r="15">
      <c r="A15">
        <f>HYPERLINK("#'By Complex'!A18", "OWN0014")</f>
        <v/>
      </c>
      <c r="B15" t="inlineStr">
        <is>
          <t>JSA CAPITAL COLORADO #1 LLC</t>
        </is>
      </c>
      <c r="C15" t="inlineStr"/>
      <c r="D15" t="inlineStr"/>
      <c r="E15" t="inlineStr"/>
      <c r="F15" t="inlineStr"/>
      <c r="G15" t="inlineStr">
        <is>
          <t>JSA CAPITAL COLORADO #1 LLC</t>
        </is>
      </c>
      <c r="H15" t="inlineStr">
        <is>
          <t>PO BOX 372</t>
        </is>
      </c>
      <c r="I15" t="inlineStr"/>
      <c r="J15" t="inlineStr">
        <is>
          <t>Mercer Island</t>
        </is>
      </c>
      <c r="K15" t="inlineStr">
        <is>
          <t>WA</t>
        </is>
      </c>
      <c r="L15" t="inlineStr">
        <is>
          <t>98040</t>
        </is>
      </c>
      <c r="M15" t="inlineStr">
        <is>
          <t>98040-0372</t>
        </is>
      </c>
      <c r="N15" t="n">
        <v>2</v>
      </c>
      <c r="O15" s="1">
        <f>HYPERLINK("#'By Complex'!A18", "Lincoln West Mall G3A")&amp;CHAR(10)&amp;=HYPERLINK("#'By Complex'!A19", "Lincoln West Mall G3B")</f>
        <v/>
      </c>
    </row>
    <row r="16">
      <c r="A16">
        <f>HYPERLINK("#'By Complex'!A20", "OWN0015")</f>
        <v/>
      </c>
      <c r="B16" t="inlineStr">
        <is>
          <t>BABICH MOUNTAIN PROPERTIES LLC</t>
        </is>
      </c>
      <c r="C16" t="inlineStr"/>
      <c r="D16" t="inlineStr"/>
      <c r="E16" t="inlineStr"/>
      <c r="F16" t="inlineStr"/>
      <c r="G16" t="inlineStr">
        <is>
          <t>BABICH MOUNTAIN PROPERTIES LLC</t>
        </is>
      </c>
      <c r="H16" t="inlineStr">
        <is>
          <t>PO BOX 6591</t>
        </is>
      </c>
      <c r="I16" t="inlineStr"/>
      <c r="J16" t="inlineStr">
        <is>
          <t>Breckenridge</t>
        </is>
      </c>
      <c r="K16" t="inlineStr">
        <is>
          <t>CO</t>
        </is>
      </c>
      <c r="L16" t="inlineStr">
        <is>
          <t>80424</t>
        </is>
      </c>
      <c r="M16" t="inlineStr">
        <is>
          <t>80424-6591</t>
        </is>
      </c>
      <c r="N16" t="n">
        <v>2</v>
      </c>
      <c r="O16" s="1">
        <f>HYPERLINK("#'By Complex'!A20", "Lincoln West Mall G4A")&amp;CHAR(10)&amp;=HYPERLINK("#'By Complex'!A21", "Lincoln West Mall G4B")</f>
        <v/>
      </c>
    </row>
    <row r="17">
      <c r="A17">
        <f>HYPERLINK("#'By Complex'!A22", "OWN0016")</f>
        <v/>
      </c>
      <c r="B17" t="inlineStr">
        <is>
          <t>PEAK 7 DEVELOPMENT COMPANY LLC</t>
        </is>
      </c>
      <c r="C17" t="inlineStr"/>
      <c r="D17" t="inlineStr"/>
      <c r="E17" t="inlineStr"/>
      <c r="F17" t="inlineStr"/>
      <c r="G17" t="inlineStr">
        <is>
          <t>PEAK 7 DEVELOPMENT COMPANY LLC</t>
        </is>
      </c>
      <c r="H17" t="inlineStr">
        <is>
          <t>PO BOX 6879</t>
        </is>
      </c>
      <c r="I17" t="inlineStr"/>
      <c r="J17" t="inlineStr">
        <is>
          <t>Breckenridge</t>
        </is>
      </c>
      <c r="K17" t="inlineStr">
        <is>
          <t>CO</t>
        </is>
      </c>
      <c r="L17" t="inlineStr">
        <is>
          <t>80424</t>
        </is>
      </c>
      <c r="M17" t="inlineStr">
        <is>
          <t>80424-6879</t>
        </is>
      </c>
      <c r="N17" t="n">
        <v>1</v>
      </c>
      <c r="O17" s="1">
        <f>HYPERLINK("#'By Complex'!A22", "Lincoln West Mall G5A")</f>
        <v/>
      </c>
    </row>
    <row r="18">
      <c r="A18">
        <f>HYPERLINK("#'By Complex'!A23", "OWN0017")</f>
        <v/>
      </c>
      <c r="B18" t="inlineStr">
        <is>
          <t>PEAK 7 DEVELOPMENT COMPANY</t>
        </is>
      </c>
      <c r="C18" t="inlineStr"/>
      <c r="D18" t="inlineStr"/>
      <c r="E18" t="inlineStr"/>
      <c r="F18" t="inlineStr"/>
      <c r="G18" t="inlineStr">
        <is>
          <t>PEAK 7 DEVELOPMENT COMPANY</t>
        </is>
      </c>
      <c r="H18" t="inlineStr">
        <is>
          <t>PO BOX 6879</t>
        </is>
      </c>
      <c r="I18" t="inlineStr"/>
      <c r="J18" t="inlineStr">
        <is>
          <t>Breckenridge</t>
        </is>
      </c>
      <c r="K18" t="inlineStr">
        <is>
          <t>CO</t>
        </is>
      </c>
      <c r="L18" t="inlineStr">
        <is>
          <t>80424</t>
        </is>
      </c>
      <c r="M18" t="inlineStr">
        <is>
          <t>80424-6879</t>
        </is>
      </c>
      <c r="N18" t="n">
        <v>1</v>
      </c>
      <c r="O18" s="1">
        <f>HYPERLINK("#'By Complex'!A23", "Lincoln West Mall G5B")</f>
        <v/>
      </c>
    </row>
    <row r="19">
      <c r="A19">
        <f>HYPERLINK("#'By Complex'!A24", "OWN0018")</f>
        <v/>
      </c>
      <c r="B19" t="inlineStr">
        <is>
          <t>PEAK 8 PROPERTIES LLC</t>
        </is>
      </c>
      <c r="C19" t="inlineStr"/>
      <c r="D19" t="inlineStr"/>
      <c r="E19" t="inlineStr"/>
      <c r="F19" t="inlineStr"/>
      <c r="G19" t="inlineStr">
        <is>
          <t>PEAK 8 PROPERTIES LLC</t>
        </is>
      </c>
      <c r="H19" t="inlineStr">
        <is>
          <t>PO BOX 6879</t>
        </is>
      </c>
      <c r="I19" t="inlineStr"/>
      <c r="J19" t="inlineStr">
        <is>
          <t>Breckenridge</t>
        </is>
      </c>
      <c r="K19" t="inlineStr">
        <is>
          <t>CO</t>
        </is>
      </c>
      <c r="L19" t="inlineStr">
        <is>
          <t>80424</t>
        </is>
      </c>
      <c r="M19" t="inlineStr">
        <is>
          <t>80424-6879</t>
        </is>
      </c>
      <c r="N19" t="n">
        <v>2</v>
      </c>
      <c r="O19" s="1">
        <f>HYPERLINK("#'By Complex'!A24", "Lincoln West Mall G6")&amp;CHAR(10)&amp;=HYPERLINK("#'By Complex'!A25", "Lincoln West Mall G7")</f>
        <v/>
      </c>
    </row>
    <row r="20">
      <c r="A20">
        <f>HYPERLINK("#'By Complex'!A28", "OWN0019")</f>
        <v/>
      </c>
      <c r="B20" t="inlineStr">
        <is>
          <t>GOLD POINT LODGING &amp; REALTY INC</t>
        </is>
      </c>
      <c r="C20" t="inlineStr"/>
      <c r="D20" t="inlineStr"/>
      <c r="E20" t="inlineStr"/>
      <c r="F20" t="inlineStr"/>
      <c r="G20" t="inlineStr">
        <is>
          <t>GOLD POINT LODGING &amp; REALTY INC</t>
        </is>
      </c>
      <c r="H20" t="inlineStr">
        <is>
          <t>PO BOX 568</t>
        </is>
      </c>
      <c r="I20" t="inlineStr"/>
      <c r="J20" t="inlineStr">
        <is>
          <t>Breckenridge</t>
        </is>
      </c>
      <c r="K20" t="inlineStr">
        <is>
          <t>CO</t>
        </is>
      </c>
      <c r="L20" t="inlineStr">
        <is>
          <t>80424</t>
        </is>
      </c>
      <c r="M20" t="inlineStr">
        <is>
          <t>80424-0568</t>
        </is>
      </c>
      <c r="N20" t="n">
        <v>9</v>
      </c>
      <c r="O20" s="1">
        <f>HYPERLINK("#'By Complex'!A28", "Lincoln West Mall U1")&amp;CHAR(10)&amp;=HYPERLINK("#'By Complex'!A31", "Lincoln West Mall U3A")&amp;CHAR(10)&amp;=HYPERLINK("#'By Complex'!A32", "Lincoln West Mall U3B")&amp;CHAR(10)&amp;=HYPERLINK("#'By Complex'!A33", "Lincoln West Mall U3C")&amp;CHAR(10)&amp;=HYPERLINK("#'By Complex'!A34", "Lincoln West Mall U4")&amp;CHAR(10)&amp;=HYPERLINK("#'By Complex'!A35", "Lincoln West Mall U5")&amp;CHAR(10)&amp;=HYPERLINK("#'By Complex'!A36", "Lincoln West Mall U6A")&amp;CHAR(10)&amp;=HYPERLINK("#'By Complex'!A37", "Lincoln West Mall U6B")&amp;CHAR(10)&amp;=HYPERLINK("#'By Complex'!A38", "Lincoln West Mall U7")</f>
        <v/>
      </c>
    </row>
    <row r="21">
      <c r="A21">
        <f>HYPERLINK("#'By Complex'!A29", "OWN0020")</f>
        <v/>
      </c>
      <c r="B21" t="inlineStr">
        <is>
          <t>Edward M Keim</t>
        </is>
      </c>
      <c r="C21" t="inlineStr">
        <is>
          <t>Edward</t>
        </is>
      </c>
      <c r="D21" t="inlineStr">
        <is>
          <t>M</t>
        </is>
      </c>
      <c r="E21" t="inlineStr">
        <is>
          <t>Keim</t>
        </is>
      </c>
      <c r="F21" t="inlineStr"/>
      <c r="G21" t="inlineStr"/>
      <c r="H21" t="inlineStr">
        <is>
          <t>PO BOX 8410</t>
        </is>
      </c>
      <c r="I21" t="inlineStr"/>
      <c r="J21" t="inlineStr">
        <is>
          <t>Breckenridge</t>
        </is>
      </c>
      <c r="K21" t="inlineStr">
        <is>
          <t>CO</t>
        </is>
      </c>
      <c r="L21" t="inlineStr">
        <is>
          <t>80424</t>
        </is>
      </c>
      <c r="M21" t="inlineStr">
        <is>
          <t>80424-8410</t>
        </is>
      </c>
      <c r="N21" t="n">
        <v>1</v>
      </c>
      <c r="O21" s="1">
        <f>HYPERLINK("#'By Complex'!A29", "Lincoln West Mall U2")</f>
        <v/>
      </c>
    </row>
    <row r="22">
      <c r="A22">
        <f>HYPERLINK("#'By Complex'!A30", "OWN0021")</f>
        <v/>
      </c>
      <c r="B22" t="inlineStr">
        <is>
          <t>Judith A Keim</t>
        </is>
      </c>
      <c r="C22" t="inlineStr">
        <is>
          <t>Judith</t>
        </is>
      </c>
      <c r="D22" t="inlineStr">
        <is>
          <t>A</t>
        </is>
      </c>
      <c r="E22" t="inlineStr">
        <is>
          <t>Keim</t>
        </is>
      </c>
      <c r="F22" t="inlineStr"/>
      <c r="G22" t="inlineStr"/>
      <c r="H22" t="inlineStr">
        <is>
          <t>PO BOX 8410</t>
        </is>
      </c>
      <c r="I22" t="inlineStr"/>
      <c r="J22" t="inlineStr">
        <is>
          <t>Breckenridge</t>
        </is>
      </c>
      <c r="K22" t="inlineStr">
        <is>
          <t>CO</t>
        </is>
      </c>
      <c r="L22" t="inlineStr">
        <is>
          <t>80424</t>
        </is>
      </c>
      <c r="M22" t="inlineStr">
        <is>
          <t>80424-8410</t>
        </is>
      </c>
      <c r="N22" t="n">
        <v>1</v>
      </c>
      <c r="O22" s="1">
        <f>HYPERLINK("#'By Complex'!A30", "Lincoln West Mall U2")</f>
        <v/>
      </c>
    </row>
    <row r="23">
      <c r="A23">
        <f>HYPERLINK("#'By Complex'!A39", "OWN0022")</f>
        <v/>
      </c>
      <c r="B23" t="inlineStr">
        <is>
          <t>Lincoln West Mall Condo Association</t>
        </is>
      </c>
      <c r="C23" t="inlineStr">
        <is>
          <t>Lincoln</t>
        </is>
      </c>
      <c r="D23" t="inlineStr">
        <is>
          <t>West Mall Condo</t>
        </is>
      </c>
      <c r="E23" t="inlineStr">
        <is>
          <t>Association</t>
        </is>
      </c>
      <c r="F23" t="inlineStr"/>
      <c r="G23" t="inlineStr"/>
      <c r="H23" t="inlineStr">
        <is>
          <t>7170 WOELFEL RD</t>
        </is>
      </c>
      <c r="I23" t="inlineStr"/>
      <c r="J23" t="inlineStr">
        <is>
          <t>Franklin</t>
        </is>
      </c>
      <c r="K23" t="inlineStr">
        <is>
          <t>WI</t>
        </is>
      </c>
      <c r="L23" t="inlineStr">
        <is>
          <t>53132</t>
        </is>
      </c>
      <c r="M23" t="inlineStr">
        <is>
          <t>53132</t>
        </is>
      </c>
      <c r="N23" t="n">
        <v>1</v>
      </c>
      <c r="O23" s="1">
        <f>HYPERLINK("#'By Complex'!A39", "Lincoln West Mall 6506091")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2025-11-03T03:11:25Z</dcterms:created>
  <dcterms:modified xmlns:dcterms="http://purl.org/dc/terms/" xmlns:xsi="http://www.w3.org/2001/XMLSchema-instance" xsi:type="dcterms:W3CDTF">2025-11-03T03:11:25Z</dcterms:modified>
</cp:coreProperties>
</file>